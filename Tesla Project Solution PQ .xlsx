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pivotCache/pivotCacheDefinition6.xml" ContentType="application/vnd.openxmlformats-officedocument.spreadsheetml.pivotCacheDefinition+xml"/>
  <Override PartName="/xl/pivotCache/pivotCacheRecords6.xml" ContentType="application/vnd.openxmlformats-officedocument.spreadsheetml.pivotCacheRecords+xml"/>
  <Override PartName="/xl/pivotCache/pivotCacheDefinition7.xml" ContentType="application/vnd.openxmlformats-officedocument.spreadsheetml.pivotCacheDefinition+xml"/>
  <Override PartName="/xl/pivotCache/pivotCacheRecords7.xml" ContentType="application/vnd.openxmlformats-officedocument.spreadsheetml.pivotCacheRecords+xml"/>
  <Override PartName="/xl/pivotCache/pivotCacheDefinition8.xml" ContentType="application/vnd.openxmlformats-officedocument.spreadsheetml.pivotCacheDefinition+xml"/>
  <Override PartName="/xl/pivotCache/pivotCacheRecords8.xml" ContentType="application/vnd.openxmlformats-officedocument.spreadsheetml.pivotCacheRecords+xml"/>
  <Override PartName="/xl/pivotCache/pivotCacheDefinition9.xml" ContentType="application/vnd.openxmlformats-officedocument.spreadsheetml.pivotCacheDefinition+xml"/>
  <Override PartName="/xl/pivotCache/pivotCacheRecords9.xml" ContentType="application/vnd.openxmlformats-officedocument.spreadsheetml.pivotCacheRecords+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9.xml" ContentType="application/vnd.openxmlformats-officedocument.spreadsheetml.pivotTable+xml"/>
  <Override PartName="/xl/drawings/drawing4.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166925"/>
  <mc:AlternateContent xmlns:mc="http://schemas.openxmlformats.org/markup-compatibility/2006">
    <mc:Choice Requires="x15">
      <x15ac:absPath xmlns:x15ac="http://schemas.microsoft.com/office/spreadsheetml/2010/11/ac" url="C:\Users\ragha\Desktop\"/>
    </mc:Choice>
  </mc:AlternateContent>
  <xr:revisionPtr revIDLastSave="0" documentId="13_ncr:10000001_{DEB9C3CD-9927-4ADB-94DA-CC90499FA8A8}" xr6:coauthVersionLast="47" xr6:coauthVersionMax="47" xr10:uidLastSave="{00000000-0000-0000-0000-000000000000}"/>
  <bookViews>
    <workbookView xWindow="-108" yWindow="-108" windowWidth="23256" windowHeight="12456" firstSheet="1" activeTab="4" xr2:uid="{2B2568EF-AF2C-4FF9-A77C-74CA5A3B2C2F}"/>
  </bookViews>
  <sheets>
    <sheet name="Posts_Task 1" sheetId="9" r:id="rId1"/>
    <sheet name="Engagement_Task 1" sheetId="3" r:id="rId2"/>
    <sheet name="Campaign metadata_Task 1" sheetId="4" r:id="rId3"/>
    <sheet name="Task 2" sheetId="1" r:id="rId4"/>
    <sheet name="Task 3" sheetId="5" r:id="rId5"/>
    <sheet name="Task 4" sheetId="8" r:id="rId6"/>
    <sheet name="Task 5" sheetId="6" r:id="rId7"/>
    <sheet name="Task 6" sheetId="7" r:id="rId8"/>
  </sheets>
  <definedNames>
    <definedName name="_xlnm._FilterDatabase" localSheetId="3" hidden="1">'Task 2'!$Q$35:$R$42</definedName>
    <definedName name="_xlnm._FilterDatabase" localSheetId="4" hidden="1">'Task 3'!$J$1:$V$201</definedName>
    <definedName name="_xlnm._FilterDatabase" localSheetId="5" hidden="1">'Task 4'!$A$1:$N$340</definedName>
    <definedName name="_xlnm._FilterDatabase" localSheetId="6" hidden="1">'Task 5'!$A$1:$H$201</definedName>
    <definedName name="_xlnm._FilterDatabase" localSheetId="7" hidden="1">'Task 6'!$A$1:$H$201</definedName>
    <definedName name="ExternalData_2" localSheetId="1" hidden="1">'Engagement_Task 1'!$A$1:$G$201</definedName>
    <definedName name="ExternalData_3" localSheetId="2" hidden="1">'Campaign metadata_Task 1'!$A$1:$G$5</definedName>
    <definedName name="ExternalData_3" localSheetId="0" hidden="1">'Posts_Task 1'!$A$1:$O$301</definedName>
  </definedNames>
  <calcPr calcId="191029"/>
  <pivotCaches>
    <pivotCache cacheId="0" r:id="rId9"/>
    <pivotCache cacheId="1" r:id="rId10"/>
    <pivotCache cacheId="2" r:id="rId11"/>
    <pivotCache cacheId="3" r:id="rId12"/>
    <pivotCache cacheId="4" r:id="rId13"/>
    <pivotCache cacheId="5" r:id="rId14"/>
    <pivotCache cacheId="6" r:id="rId15"/>
    <pivotCache cacheId="7" r:id="rId16"/>
    <pivotCache cacheId="8" r:id="rId17"/>
  </pivotCaches>
  <fileRecoveryPr repair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L67" i="7" l="1"/>
  <c r="K67" i="7"/>
  <c r="L66" i="7"/>
  <c r="K66" i="7"/>
  <c r="L65" i="7"/>
  <c r="K65" i="7"/>
  <c r="L64" i="7"/>
  <c r="K64" i="7"/>
  <c r="H201" i="6"/>
  <c r="H200" i="6"/>
  <c r="H199" i="6"/>
  <c r="H198" i="6"/>
  <c r="H197" i="6"/>
  <c r="H196" i="6"/>
  <c r="H195" i="6"/>
  <c r="H194" i="6"/>
  <c r="H193" i="6"/>
  <c r="H192" i="6"/>
  <c r="H191" i="6"/>
  <c r="H190" i="6"/>
  <c r="H189" i="6"/>
  <c r="H188" i="6"/>
  <c r="H187" i="6"/>
  <c r="H186" i="6"/>
  <c r="H185" i="6"/>
  <c r="H184" i="6"/>
  <c r="H183" i="6"/>
  <c r="H182" i="6"/>
  <c r="H181" i="6"/>
  <c r="H180" i="6"/>
  <c r="H179" i="6"/>
  <c r="H178" i="6"/>
  <c r="H177" i="6"/>
  <c r="H176" i="6"/>
  <c r="H175" i="6"/>
  <c r="H174" i="6"/>
  <c r="H173" i="6"/>
  <c r="H172" i="6"/>
  <c r="H171" i="6"/>
  <c r="H170" i="6"/>
  <c r="H169" i="6"/>
  <c r="H168" i="6"/>
  <c r="H167" i="6"/>
  <c r="H166" i="6"/>
  <c r="H165" i="6"/>
  <c r="H164" i="6"/>
  <c r="H163" i="6"/>
  <c r="H162" i="6"/>
  <c r="H161" i="6"/>
  <c r="H160" i="6"/>
  <c r="H159" i="6"/>
  <c r="H158" i="6"/>
  <c r="H157" i="6"/>
  <c r="H156" i="6"/>
  <c r="H155" i="6"/>
  <c r="H154" i="6"/>
  <c r="H153" i="6"/>
  <c r="H152" i="6"/>
  <c r="H151" i="6"/>
  <c r="H150" i="6"/>
  <c r="H149" i="6"/>
  <c r="H148" i="6"/>
  <c r="H147" i="6"/>
  <c r="H146" i="6"/>
  <c r="H145" i="6"/>
  <c r="H144" i="6"/>
  <c r="H143" i="6"/>
  <c r="H142" i="6"/>
  <c r="H141" i="6"/>
  <c r="H140" i="6"/>
  <c r="H139" i="6"/>
  <c r="H138" i="6"/>
  <c r="H137" i="6"/>
  <c r="H136" i="6"/>
  <c r="H135" i="6"/>
  <c r="H134" i="6"/>
  <c r="H133" i="6"/>
  <c r="H132" i="6"/>
  <c r="H131" i="6"/>
  <c r="H130" i="6"/>
  <c r="H129" i="6"/>
  <c r="H128" i="6"/>
  <c r="H127" i="6"/>
  <c r="H126" i="6"/>
  <c r="H125" i="6"/>
  <c r="H124" i="6"/>
  <c r="H123" i="6"/>
  <c r="H122" i="6"/>
  <c r="H121" i="6"/>
  <c r="H120" i="6"/>
  <c r="H119" i="6"/>
  <c r="H118" i="6"/>
  <c r="H117" i="6"/>
  <c r="H116" i="6"/>
  <c r="H115" i="6"/>
  <c r="H114" i="6"/>
  <c r="H113" i="6"/>
  <c r="H112" i="6"/>
  <c r="H111" i="6"/>
  <c r="H110" i="6"/>
  <c r="H109" i="6"/>
  <c r="H108" i="6"/>
  <c r="H107" i="6"/>
  <c r="H106" i="6"/>
  <c r="H105" i="6"/>
  <c r="H104" i="6"/>
  <c r="H103" i="6"/>
  <c r="H102" i="6"/>
  <c r="H101" i="6"/>
  <c r="H100" i="6"/>
  <c r="H99" i="6"/>
  <c r="H98" i="6"/>
  <c r="H97" i="6"/>
  <c r="H96" i="6"/>
  <c r="H95" i="6"/>
  <c r="H94" i="6"/>
  <c r="H93" i="6"/>
  <c r="H92" i="6"/>
  <c r="H91" i="6"/>
  <c r="H90" i="6"/>
  <c r="H89" i="6"/>
  <c r="H88" i="6"/>
  <c r="H87" i="6"/>
  <c r="H86" i="6"/>
  <c r="H85" i="6"/>
  <c r="H84" i="6"/>
  <c r="H83" i="6"/>
  <c r="H82" i="6"/>
  <c r="H81" i="6"/>
  <c r="H80" i="6"/>
  <c r="H79" i="6"/>
  <c r="H78" i="6"/>
  <c r="H77" i="6"/>
  <c r="H76" i="6"/>
  <c r="H75" i="6"/>
  <c r="H74" i="6"/>
  <c r="H73" i="6"/>
  <c r="H72" i="6"/>
  <c r="H71" i="6"/>
  <c r="H70" i="6"/>
  <c r="H69" i="6"/>
  <c r="H68" i="6"/>
  <c r="H67" i="6"/>
  <c r="H66" i="6"/>
  <c r="H65" i="6"/>
  <c r="H64" i="6"/>
  <c r="H63" i="6"/>
  <c r="H62" i="6"/>
  <c r="H61" i="6"/>
  <c r="H60" i="6"/>
  <c r="H59" i="6"/>
  <c r="H58" i="6"/>
  <c r="H57" i="6"/>
  <c r="H56" i="6"/>
  <c r="H55" i="6"/>
  <c r="H54" i="6"/>
  <c r="H53" i="6"/>
  <c r="H52" i="6"/>
  <c r="H51" i="6"/>
  <c r="H50" i="6"/>
  <c r="H49" i="6"/>
  <c r="H48" i="6"/>
  <c r="H47" i="6"/>
  <c r="H46" i="6"/>
  <c r="H45" i="6"/>
  <c r="H44" i="6"/>
  <c r="H43" i="6"/>
  <c r="H42" i="6"/>
  <c r="H41" i="6"/>
  <c r="H40" i="6"/>
  <c r="H39" i="6"/>
  <c r="H38" i="6"/>
  <c r="H37" i="6"/>
  <c r="H36" i="6"/>
  <c r="H35" i="6"/>
  <c r="H34" i="6"/>
  <c r="H33" i="6"/>
  <c r="H32" i="6"/>
  <c r="H31" i="6"/>
  <c r="H30" i="6"/>
  <c r="H29" i="6"/>
  <c r="H28" i="6"/>
  <c r="H27" i="6"/>
  <c r="H26" i="6"/>
  <c r="H25" i="6"/>
  <c r="H24" i="6"/>
  <c r="H23" i="6"/>
  <c r="H22" i="6"/>
  <c r="H21" i="6"/>
  <c r="H20" i="6"/>
  <c r="H19" i="6"/>
  <c r="H18" i="6"/>
  <c r="H17" i="6"/>
  <c r="U16" i="6"/>
  <c r="H16" i="6"/>
  <c r="U15" i="6"/>
  <c r="H15" i="6"/>
  <c r="U14" i="6"/>
  <c r="H14" i="6"/>
  <c r="U13" i="6"/>
  <c r="H13" i="6"/>
  <c r="H12" i="6"/>
  <c r="H11" i="6"/>
  <c r="H10" i="6"/>
  <c r="H9" i="6"/>
  <c r="H8" i="6"/>
  <c r="H7" i="6"/>
  <c r="H6" i="6"/>
  <c r="H5" i="6"/>
  <c r="H4" i="6"/>
  <c r="H3" i="6"/>
  <c r="H2" i="6"/>
  <c r="AA33" i="8"/>
  <c r="AA32" i="8"/>
  <c r="AA31" i="8"/>
  <c r="AA30" i="8"/>
  <c r="AA29" i="8"/>
  <c r="H301" i="5"/>
  <c r="H300" i="5"/>
  <c r="H299" i="5"/>
  <c r="H298" i="5"/>
  <c r="H297" i="5"/>
  <c r="H296" i="5"/>
  <c r="H295" i="5"/>
  <c r="H294" i="5"/>
  <c r="H293" i="5"/>
  <c r="H292" i="5"/>
  <c r="H291" i="5"/>
  <c r="H290" i="5"/>
  <c r="H289" i="5"/>
  <c r="H288" i="5"/>
  <c r="H287" i="5"/>
  <c r="H286" i="5"/>
  <c r="H285" i="5"/>
  <c r="H284" i="5"/>
  <c r="H283" i="5"/>
  <c r="H282" i="5"/>
  <c r="H281" i="5"/>
  <c r="H280" i="5"/>
  <c r="H279" i="5"/>
  <c r="H278" i="5"/>
  <c r="H277" i="5"/>
  <c r="H276" i="5"/>
  <c r="H275" i="5"/>
  <c r="H274" i="5"/>
  <c r="H273" i="5"/>
  <c r="H272" i="5"/>
  <c r="H271" i="5"/>
  <c r="H270" i="5"/>
  <c r="H269" i="5"/>
  <c r="H268" i="5"/>
  <c r="H267" i="5"/>
  <c r="H266" i="5"/>
  <c r="H265" i="5"/>
  <c r="H264" i="5"/>
  <c r="H263" i="5"/>
  <c r="H262" i="5"/>
  <c r="H261" i="5"/>
  <c r="H260" i="5"/>
  <c r="H259" i="5"/>
  <c r="H258" i="5"/>
  <c r="H257" i="5"/>
  <c r="H256" i="5"/>
  <c r="H255" i="5"/>
  <c r="H254" i="5"/>
  <c r="H253" i="5"/>
  <c r="H252" i="5"/>
  <c r="H251" i="5"/>
  <c r="H250" i="5"/>
  <c r="H249" i="5"/>
  <c r="H248" i="5"/>
  <c r="H247" i="5"/>
  <c r="H246" i="5"/>
  <c r="H245" i="5"/>
  <c r="H244" i="5"/>
  <c r="H243" i="5"/>
  <c r="H242" i="5"/>
  <c r="H241" i="5"/>
  <c r="H240" i="5"/>
  <c r="H239" i="5"/>
  <c r="H238" i="5"/>
  <c r="H237" i="5"/>
  <c r="H236" i="5"/>
  <c r="H235" i="5"/>
  <c r="H234" i="5"/>
  <c r="H233" i="5"/>
  <c r="H232" i="5"/>
  <c r="H231" i="5"/>
  <c r="H230" i="5"/>
  <c r="H229" i="5"/>
  <c r="H228" i="5"/>
  <c r="H227" i="5"/>
  <c r="H226" i="5"/>
  <c r="H225" i="5"/>
  <c r="H224" i="5"/>
  <c r="H223" i="5"/>
  <c r="H222" i="5"/>
  <c r="H221" i="5"/>
  <c r="H220" i="5"/>
  <c r="H219" i="5"/>
  <c r="H218" i="5"/>
  <c r="H217" i="5"/>
  <c r="H216" i="5"/>
  <c r="H215" i="5"/>
  <c r="H214" i="5"/>
  <c r="H213" i="5"/>
  <c r="H212" i="5"/>
  <c r="H211" i="5"/>
  <c r="H210" i="5"/>
  <c r="H209" i="5"/>
  <c r="H208" i="5"/>
  <c r="H207" i="5"/>
  <c r="H206" i="5"/>
  <c r="H205" i="5"/>
  <c r="H204" i="5"/>
  <c r="H203" i="5"/>
  <c r="H202" i="5"/>
  <c r="V201" i="5"/>
  <c r="H201" i="5"/>
  <c r="V200" i="5"/>
  <c r="H200" i="5"/>
  <c r="V199" i="5"/>
  <c r="H199" i="5"/>
  <c r="V198" i="5"/>
  <c r="H198" i="5"/>
  <c r="V197" i="5"/>
  <c r="H197" i="5"/>
  <c r="V196" i="5"/>
  <c r="H196" i="5"/>
  <c r="V195" i="5"/>
  <c r="H195" i="5"/>
  <c r="V194" i="5"/>
  <c r="H194" i="5"/>
  <c r="V193" i="5"/>
  <c r="H193" i="5"/>
  <c r="V192" i="5"/>
  <c r="H192" i="5"/>
  <c r="V191" i="5"/>
  <c r="H191" i="5"/>
  <c r="V190" i="5"/>
  <c r="H190" i="5"/>
  <c r="V189" i="5"/>
  <c r="H189" i="5"/>
  <c r="V188" i="5"/>
  <c r="H188" i="5"/>
  <c r="V187" i="5"/>
  <c r="H187" i="5"/>
  <c r="V186" i="5"/>
  <c r="H186" i="5"/>
  <c r="V185" i="5"/>
  <c r="H185" i="5"/>
  <c r="V184" i="5"/>
  <c r="H184" i="5"/>
  <c r="V183" i="5"/>
  <c r="H183" i="5"/>
  <c r="V182" i="5"/>
  <c r="H182" i="5"/>
  <c r="V181" i="5"/>
  <c r="H181" i="5"/>
  <c r="V180" i="5"/>
  <c r="H180" i="5"/>
  <c r="V179" i="5"/>
  <c r="H179" i="5"/>
  <c r="V178" i="5"/>
  <c r="H178" i="5"/>
  <c r="V177" i="5"/>
  <c r="H177" i="5"/>
  <c r="V176" i="5"/>
  <c r="H176" i="5"/>
  <c r="V175" i="5"/>
  <c r="H175" i="5"/>
  <c r="V174" i="5"/>
  <c r="H174" i="5"/>
  <c r="V173" i="5"/>
  <c r="H173" i="5"/>
  <c r="V172" i="5"/>
  <c r="H172" i="5"/>
  <c r="V171" i="5"/>
  <c r="H171" i="5"/>
  <c r="V170" i="5"/>
  <c r="H170" i="5"/>
  <c r="V169" i="5"/>
  <c r="H169" i="5"/>
  <c r="V168" i="5"/>
  <c r="H168" i="5"/>
  <c r="V167" i="5"/>
  <c r="H167" i="5"/>
  <c r="V166" i="5"/>
  <c r="H166" i="5"/>
  <c r="V165" i="5"/>
  <c r="H165" i="5"/>
  <c r="V164" i="5"/>
  <c r="H164" i="5"/>
  <c r="V163" i="5"/>
  <c r="H163" i="5"/>
  <c r="V162" i="5"/>
  <c r="H162" i="5"/>
  <c r="V161" i="5"/>
  <c r="H161" i="5"/>
  <c r="V160" i="5"/>
  <c r="H160" i="5"/>
  <c r="V159" i="5"/>
  <c r="H159" i="5"/>
  <c r="V158" i="5"/>
  <c r="H158" i="5"/>
  <c r="V157" i="5"/>
  <c r="H157" i="5"/>
  <c r="V156" i="5"/>
  <c r="H156" i="5"/>
  <c r="V155" i="5"/>
  <c r="H155" i="5"/>
  <c r="V154" i="5"/>
  <c r="H154" i="5"/>
  <c r="V153" i="5"/>
  <c r="H153" i="5"/>
  <c r="V152" i="5"/>
  <c r="H152" i="5"/>
  <c r="V151" i="5"/>
  <c r="H151" i="5"/>
  <c r="V150" i="5"/>
  <c r="H150" i="5"/>
  <c r="V149" i="5"/>
  <c r="H149" i="5"/>
  <c r="V148" i="5"/>
  <c r="H148" i="5"/>
  <c r="V147" i="5"/>
  <c r="H147" i="5"/>
  <c r="V146" i="5"/>
  <c r="H146" i="5"/>
  <c r="V145" i="5"/>
  <c r="H145" i="5"/>
  <c r="V144" i="5"/>
  <c r="H144" i="5"/>
  <c r="V143" i="5"/>
  <c r="H143" i="5"/>
  <c r="V142" i="5"/>
  <c r="H142" i="5"/>
  <c r="V141" i="5"/>
  <c r="H141" i="5"/>
  <c r="V140" i="5"/>
  <c r="H140" i="5"/>
  <c r="V139" i="5"/>
  <c r="H139" i="5"/>
  <c r="V138" i="5"/>
  <c r="H138" i="5"/>
  <c r="V137" i="5"/>
  <c r="H137" i="5"/>
  <c r="V136" i="5"/>
  <c r="H136" i="5"/>
  <c r="V135" i="5"/>
  <c r="H135" i="5"/>
  <c r="V134" i="5"/>
  <c r="H134" i="5"/>
  <c r="V133" i="5"/>
  <c r="H133" i="5"/>
  <c r="V132" i="5"/>
  <c r="H132" i="5"/>
  <c r="V131" i="5"/>
  <c r="H131" i="5"/>
  <c r="V130" i="5"/>
  <c r="H130" i="5"/>
  <c r="V129" i="5"/>
  <c r="H129" i="5"/>
  <c r="V128" i="5"/>
  <c r="H128" i="5"/>
  <c r="V127" i="5"/>
  <c r="H127" i="5"/>
  <c r="V126" i="5"/>
  <c r="H126" i="5"/>
  <c r="V125" i="5"/>
  <c r="H125" i="5"/>
  <c r="V124" i="5"/>
  <c r="H124" i="5"/>
  <c r="V123" i="5"/>
  <c r="H123" i="5"/>
  <c r="V122" i="5"/>
  <c r="H122" i="5"/>
  <c r="V121" i="5"/>
  <c r="H121" i="5"/>
  <c r="V120" i="5"/>
  <c r="H120" i="5"/>
  <c r="V119" i="5"/>
  <c r="H119" i="5"/>
  <c r="V118" i="5"/>
  <c r="H118" i="5"/>
  <c r="V117" i="5"/>
  <c r="H117" i="5"/>
  <c r="V116" i="5"/>
  <c r="H116" i="5"/>
  <c r="V115" i="5"/>
  <c r="H115" i="5"/>
  <c r="V114" i="5"/>
  <c r="H114" i="5"/>
  <c r="V113" i="5"/>
  <c r="H113" i="5"/>
  <c r="V112" i="5"/>
  <c r="H112" i="5"/>
  <c r="V111" i="5"/>
  <c r="H111" i="5"/>
  <c r="V110" i="5"/>
  <c r="H110" i="5"/>
  <c r="V109" i="5"/>
  <c r="H109" i="5"/>
  <c r="V108" i="5"/>
  <c r="H108" i="5"/>
  <c r="V107" i="5"/>
  <c r="H107" i="5"/>
  <c r="V106" i="5"/>
  <c r="H106" i="5"/>
  <c r="V105" i="5"/>
  <c r="H105" i="5"/>
  <c r="V104" i="5"/>
  <c r="H104" i="5"/>
  <c r="V103" i="5"/>
  <c r="H103" i="5"/>
  <c r="V102" i="5"/>
  <c r="H102" i="5"/>
  <c r="V101" i="5"/>
  <c r="H101" i="5"/>
  <c r="V100" i="5"/>
  <c r="H100" i="5"/>
  <c r="V99" i="5"/>
  <c r="H99" i="5"/>
  <c r="V98" i="5"/>
  <c r="H98" i="5"/>
  <c r="V97" i="5"/>
  <c r="H97" i="5"/>
  <c r="V96" i="5"/>
  <c r="H96" i="5"/>
  <c r="V95" i="5"/>
  <c r="H95" i="5"/>
  <c r="V94" i="5"/>
  <c r="H94" i="5"/>
  <c r="V93" i="5"/>
  <c r="H93" i="5"/>
  <c r="V92" i="5"/>
  <c r="H92" i="5"/>
  <c r="V91" i="5"/>
  <c r="H91" i="5"/>
  <c r="V90" i="5"/>
  <c r="H90" i="5"/>
  <c r="V89" i="5"/>
  <c r="H89" i="5"/>
  <c r="V88" i="5"/>
  <c r="H88" i="5"/>
  <c r="V87" i="5"/>
  <c r="H87" i="5"/>
  <c r="V86" i="5"/>
  <c r="H86" i="5"/>
  <c r="V85" i="5"/>
  <c r="H85" i="5"/>
  <c r="V84" i="5"/>
  <c r="H84" i="5"/>
  <c r="V83" i="5"/>
  <c r="H83" i="5"/>
  <c r="V82" i="5"/>
  <c r="H82" i="5"/>
  <c r="V81" i="5"/>
  <c r="H81" i="5"/>
  <c r="V80" i="5"/>
  <c r="H80" i="5"/>
  <c r="V79" i="5"/>
  <c r="H79" i="5"/>
  <c r="V78" i="5"/>
  <c r="H78" i="5"/>
  <c r="V77" i="5"/>
  <c r="H77" i="5"/>
  <c r="V76" i="5"/>
  <c r="H76" i="5"/>
  <c r="V75" i="5"/>
  <c r="H75" i="5"/>
  <c r="V74" i="5"/>
  <c r="H74" i="5"/>
  <c r="V73" i="5"/>
  <c r="H73" i="5"/>
  <c r="V72" i="5"/>
  <c r="H72" i="5"/>
  <c r="V71" i="5"/>
  <c r="H71" i="5"/>
  <c r="V70" i="5"/>
  <c r="H70" i="5"/>
  <c r="V69" i="5"/>
  <c r="H69" i="5"/>
  <c r="V68" i="5"/>
  <c r="H68" i="5"/>
  <c r="V67" i="5"/>
  <c r="H67" i="5"/>
  <c r="V66" i="5"/>
  <c r="H66" i="5"/>
  <c r="V65" i="5"/>
  <c r="H65" i="5"/>
  <c r="V64" i="5"/>
  <c r="H64" i="5"/>
  <c r="V63" i="5"/>
  <c r="H63" i="5"/>
  <c r="V62" i="5"/>
  <c r="H62" i="5"/>
  <c r="V61" i="5"/>
  <c r="H61" i="5"/>
  <c r="V60" i="5"/>
  <c r="H60" i="5"/>
  <c r="V59" i="5"/>
  <c r="H59" i="5"/>
  <c r="V58" i="5"/>
  <c r="H58" i="5"/>
  <c r="V57" i="5"/>
  <c r="H57" i="5"/>
  <c r="V56" i="5"/>
  <c r="H56" i="5"/>
  <c r="V55" i="5"/>
  <c r="H55" i="5"/>
  <c r="V54" i="5"/>
  <c r="H54" i="5"/>
  <c r="V53" i="5"/>
  <c r="H53" i="5"/>
  <c r="V52" i="5"/>
  <c r="H52" i="5"/>
  <c r="V51" i="5"/>
  <c r="H51" i="5"/>
  <c r="V50" i="5"/>
  <c r="H50" i="5"/>
  <c r="V49" i="5"/>
  <c r="H49" i="5"/>
  <c r="V48" i="5"/>
  <c r="H48" i="5"/>
  <c r="V47" i="5"/>
  <c r="H47" i="5"/>
  <c r="V46" i="5"/>
  <c r="H46" i="5"/>
  <c r="V45" i="5"/>
  <c r="H45" i="5"/>
  <c r="V44" i="5"/>
  <c r="H44" i="5"/>
  <c r="V43" i="5"/>
  <c r="H43" i="5"/>
  <c r="V42" i="5"/>
  <c r="H42" i="5"/>
  <c r="V41" i="5"/>
  <c r="H41" i="5"/>
  <c r="V40" i="5"/>
  <c r="H40" i="5"/>
  <c r="V39" i="5"/>
  <c r="H39" i="5"/>
  <c r="V38" i="5"/>
  <c r="H38" i="5"/>
  <c r="V37" i="5"/>
  <c r="H37" i="5"/>
  <c r="V36" i="5"/>
  <c r="H36" i="5"/>
  <c r="V35" i="5"/>
  <c r="H35" i="5"/>
  <c r="V34" i="5"/>
  <c r="H34" i="5"/>
  <c r="V33" i="5"/>
  <c r="H33" i="5"/>
  <c r="V32" i="5"/>
  <c r="H32" i="5"/>
  <c r="V31" i="5"/>
  <c r="H31" i="5"/>
  <c r="V30" i="5"/>
  <c r="H30" i="5"/>
  <c r="V29" i="5"/>
  <c r="H29" i="5"/>
  <c r="V28" i="5"/>
  <c r="H28" i="5"/>
  <c r="V27" i="5"/>
  <c r="H27" i="5"/>
  <c r="V26" i="5"/>
  <c r="H26" i="5"/>
  <c r="V25" i="5"/>
  <c r="H25" i="5"/>
  <c r="V24" i="5"/>
  <c r="H24" i="5"/>
  <c r="V23" i="5"/>
  <c r="H23" i="5"/>
  <c r="AA22" i="5"/>
  <c r="V22" i="5"/>
  <c r="H22" i="5"/>
  <c r="AA21" i="5"/>
  <c r="V21" i="5"/>
  <c r="H21" i="5"/>
  <c r="AA20" i="5"/>
  <c r="V20" i="5"/>
  <c r="H20" i="5"/>
  <c r="AA19" i="5"/>
  <c r="V19" i="5"/>
  <c r="H19" i="5"/>
  <c r="V18" i="5"/>
  <c r="H18" i="5"/>
  <c r="V17" i="5"/>
  <c r="H17" i="5"/>
  <c r="V16" i="5"/>
  <c r="H16" i="5"/>
  <c r="V15" i="5"/>
  <c r="H15" i="5"/>
  <c r="V14" i="5"/>
  <c r="H14" i="5"/>
  <c r="V13" i="5"/>
  <c r="H13" i="5"/>
  <c r="V12" i="5"/>
  <c r="H12" i="5"/>
  <c r="AE11" i="5"/>
  <c r="V11" i="5"/>
  <c r="H11" i="5"/>
  <c r="AE10" i="5"/>
  <c r="V10" i="5"/>
  <c r="H10" i="5"/>
  <c r="AE9" i="5"/>
  <c r="V9" i="5"/>
  <c r="M9" i="5"/>
  <c r="L9" i="5"/>
  <c r="H9" i="5"/>
  <c r="AE8" i="5"/>
  <c r="V8" i="5"/>
  <c r="M8" i="5"/>
  <c r="L8" i="5"/>
  <c r="H8" i="5"/>
  <c r="V7" i="5"/>
  <c r="M7" i="5"/>
  <c r="L7" i="5"/>
  <c r="H7" i="5"/>
  <c r="V6" i="5"/>
  <c r="M6" i="5"/>
  <c r="L6" i="5"/>
  <c r="H6" i="5"/>
  <c r="V5" i="5"/>
  <c r="H5" i="5"/>
  <c r="V4" i="5"/>
  <c r="H4" i="5"/>
  <c r="V3" i="5"/>
  <c r="H3" i="5"/>
  <c r="V2" i="5"/>
  <c r="H2" i="5"/>
  <c r="N40" i="1"/>
  <c r="N213" i="1"/>
  <c r="N280" i="1"/>
  <c r="N161" i="1"/>
  <c r="N32" i="1"/>
  <c r="N8" i="1"/>
  <c r="N26" i="1"/>
  <c r="N89" i="1"/>
  <c r="N215" i="1"/>
  <c r="N193" i="1"/>
  <c r="N192" i="1"/>
  <c r="N191" i="1"/>
  <c r="N29" i="1"/>
  <c r="N51" i="1"/>
  <c r="N230" i="1"/>
  <c r="N229" i="1"/>
  <c r="N228" i="1"/>
  <c r="N293" i="1"/>
  <c r="N132" i="1"/>
  <c r="N113" i="1"/>
  <c r="N197" i="1"/>
  <c r="N82" i="1"/>
  <c r="N140" i="1"/>
  <c r="N251" i="1"/>
  <c r="N194" i="1"/>
  <c r="N27" i="1"/>
  <c r="N137" i="1"/>
  <c r="N136" i="1"/>
  <c r="N135" i="1"/>
  <c r="N35" i="1"/>
  <c r="N130" i="1"/>
  <c r="N28" i="1"/>
  <c r="N171" i="1"/>
  <c r="N60" i="1"/>
  <c r="N65" i="1"/>
  <c r="N203" i="1"/>
  <c r="N202" i="1"/>
  <c r="N201" i="1"/>
  <c r="N33" i="1"/>
  <c r="N254" i="1"/>
  <c r="N271" i="1"/>
  <c r="N117" i="1"/>
  <c r="N116" i="1"/>
  <c r="N115" i="1"/>
  <c r="N122" i="1"/>
  <c r="N242" i="1"/>
  <c r="N252" i="1"/>
  <c r="N4" i="1"/>
  <c r="R4" i="1" s="1"/>
  <c r="N204" i="1"/>
  <c r="N234" i="1"/>
  <c r="N111" i="1"/>
  <c r="N222" i="1"/>
  <c r="N147" i="1"/>
  <c r="N31" i="1"/>
  <c r="N296" i="1"/>
  <c r="N18" i="1"/>
  <c r="N289" i="1"/>
  <c r="N149" i="1"/>
  <c r="N148" i="1"/>
  <c r="N81" i="1"/>
  <c r="N2" i="1"/>
  <c r="N30" i="1"/>
  <c r="N58" i="1"/>
  <c r="N284" i="1"/>
  <c r="N292" i="1"/>
  <c r="N257" i="1"/>
  <c r="N12" i="1"/>
  <c r="N218" i="1"/>
  <c r="N128" i="1"/>
  <c r="N59" i="1"/>
  <c r="N10" i="1"/>
  <c r="N217" i="1"/>
  <c r="N216" i="1"/>
  <c r="N200" i="1"/>
  <c r="N97" i="1"/>
  <c r="N96" i="1"/>
  <c r="N153" i="1"/>
  <c r="N156" i="1"/>
  <c r="N155" i="1"/>
  <c r="N21" i="1"/>
  <c r="N295" i="1"/>
  <c r="N219" i="1"/>
  <c r="N184" i="1"/>
  <c r="N285" i="1"/>
  <c r="N209" i="1"/>
  <c r="N53" i="1"/>
  <c r="N277" i="1"/>
  <c r="N125" i="1"/>
  <c r="N105" i="1"/>
  <c r="N104" i="1"/>
  <c r="N103" i="1"/>
  <c r="N212" i="1"/>
  <c r="N167" i="1"/>
  <c r="N93" i="1"/>
  <c r="N166" i="1"/>
  <c r="N298" i="1"/>
  <c r="N255" i="1"/>
  <c r="N210" i="1"/>
  <c r="N214" i="1"/>
  <c r="N211" i="1"/>
  <c r="N172" i="1"/>
  <c r="N106" i="1"/>
  <c r="N23" i="1"/>
  <c r="N160" i="1"/>
  <c r="N34" i="1"/>
  <c r="N185" i="1"/>
  <c r="N245" i="1"/>
  <c r="N5" i="1"/>
  <c r="N180" i="1"/>
  <c r="N300" i="1"/>
  <c r="N6" i="1"/>
  <c r="N101" i="1"/>
  <c r="N94" i="1"/>
  <c r="N253" i="1"/>
  <c r="N170" i="1"/>
  <c r="N269" i="1"/>
  <c r="N127" i="1"/>
  <c r="N247" i="1"/>
  <c r="N168" i="1"/>
  <c r="N95" i="1"/>
  <c r="N86" i="1"/>
  <c r="N88" i="1"/>
  <c r="N87" i="1"/>
  <c r="N39" i="1"/>
  <c r="N199" i="1"/>
  <c r="N142" i="1"/>
  <c r="N181" i="1"/>
  <c r="N43" i="1"/>
  <c r="N145" i="1"/>
  <c r="N152" i="1"/>
  <c r="N151" i="1"/>
  <c r="N143" i="1"/>
  <c r="N19" i="1"/>
  <c r="N63" i="1"/>
  <c r="N54" i="1"/>
  <c r="N150" i="1"/>
  <c r="N283" i="1"/>
  <c r="N235" i="1"/>
  <c r="N52" i="1"/>
  <c r="N90" i="1"/>
  <c r="N45" i="1"/>
  <c r="N44" i="1"/>
  <c r="N297" i="1"/>
  <c r="N276" i="1"/>
  <c r="N9" i="1"/>
  <c r="N267" i="1"/>
  <c r="N38" i="1"/>
  <c r="N85" i="1"/>
  <c r="N84" i="1"/>
  <c r="N175" i="1"/>
  <c r="N80" i="1"/>
  <c r="N47" i="1"/>
  <c r="N50" i="1"/>
  <c r="N278" i="1"/>
  <c r="N263" i="1"/>
  <c r="N261" i="1"/>
  <c r="N110" i="1"/>
  <c r="N114" i="1"/>
  <c r="N187" i="1"/>
  <c r="N67" i="1"/>
  <c r="N126" i="1"/>
  <c r="N268" i="1"/>
  <c r="N164" i="1"/>
  <c r="N99" i="1"/>
  <c r="N16" i="1"/>
  <c r="N36" i="1"/>
  <c r="N225" i="1"/>
  <c r="N17" i="1"/>
  <c r="N37" i="1"/>
  <c r="N20" i="1"/>
  <c r="N227" i="1"/>
  <c r="N139" i="1"/>
  <c r="N72" i="1"/>
  <c r="N288" i="1"/>
  <c r="N287" i="1"/>
  <c r="N118" i="1"/>
  <c r="N144" i="1"/>
  <c r="N66" i="1"/>
  <c r="N248" i="1"/>
  <c r="N129" i="1"/>
  <c r="N73" i="1"/>
  <c r="N163" i="1"/>
  <c r="N286" i="1"/>
  <c r="N205" i="1"/>
  <c r="N120" i="1"/>
  <c r="N102" i="1"/>
  <c r="N165" i="1"/>
  <c r="N15" i="1"/>
  <c r="N249" i="1"/>
  <c r="N178" i="1"/>
  <c r="N259" i="1"/>
  <c r="N146" i="1"/>
  <c r="N196" i="1"/>
  <c r="N195" i="1"/>
  <c r="N158" i="1"/>
  <c r="N270" i="1"/>
  <c r="N71" i="1"/>
  <c r="N25" i="1"/>
  <c r="N107" i="1"/>
  <c r="N231" i="1"/>
  <c r="N264" i="1"/>
  <c r="N70" i="1"/>
  <c r="N108" i="1"/>
  <c r="N48" i="1"/>
  <c r="N275" i="1"/>
  <c r="N274" i="1"/>
  <c r="N56" i="1"/>
  <c r="N198" i="1"/>
  <c r="N79" i="1"/>
  <c r="N208" i="1"/>
  <c r="N207" i="1"/>
  <c r="N206" i="1"/>
  <c r="N173" i="1"/>
  <c r="N233" i="1"/>
  <c r="N188" i="1"/>
  <c r="N220" i="1"/>
  <c r="N49" i="1"/>
  <c r="N223" i="1"/>
  <c r="N131" i="1"/>
  <c r="N112" i="1"/>
  <c r="N279" i="1"/>
  <c r="N189" i="1"/>
  <c r="N133" i="1"/>
  <c r="N11" i="1"/>
  <c r="N176" i="1"/>
  <c r="N55" i="1"/>
  <c r="N282" i="1"/>
  <c r="N22" i="1"/>
  <c r="N134" i="1"/>
  <c r="N221" i="1"/>
  <c r="N301" i="1"/>
  <c r="N7" i="1"/>
  <c r="N98" i="1"/>
  <c r="N78" i="1"/>
  <c r="N77" i="1"/>
  <c r="N76" i="1"/>
  <c r="N177" i="1"/>
  <c r="N3" i="1"/>
  <c r="N224" i="1"/>
  <c r="N119" i="1"/>
  <c r="N179" i="1"/>
  <c r="N75" i="1"/>
  <c r="N14" i="1"/>
  <c r="N13" i="1"/>
  <c r="N83" i="1"/>
  <c r="N232" i="1"/>
  <c r="N109" i="1"/>
  <c r="N154" i="1"/>
  <c r="N250" i="1"/>
  <c r="N74" i="1"/>
  <c r="N69" i="1"/>
  <c r="N246" i="1"/>
  <c r="N169" i="1"/>
  <c r="N42" i="1"/>
  <c r="N41" i="1"/>
  <c r="N61" i="1"/>
  <c r="N100" i="1"/>
  <c r="N256" i="1"/>
  <c r="N124" i="1"/>
  <c r="N64" i="1"/>
  <c r="N239" i="1"/>
  <c r="N138" i="1"/>
  <c r="N265" i="1"/>
  <c r="N123" i="1"/>
  <c r="N57" i="1"/>
  <c r="N24" i="1"/>
  <c r="N294" i="1"/>
  <c r="N46" i="1"/>
  <c r="N68" i="1"/>
  <c r="N262" i="1"/>
  <c r="N186" i="1"/>
  <c r="N290" i="1"/>
  <c r="N258" i="1"/>
  <c r="N238" i="1"/>
  <c r="N237" i="1"/>
  <c r="N226" i="1"/>
  <c r="N236" i="1"/>
  <c r="N281" i="1"/>
  <c r="N162" i="1"/>
  <c r="N159" i="1"/>
  <c r="N174" i="1"/>
  <c r="N244" i="1"/>
  <c r="N291" i="1"/>
  <c r="N92" i="1"/>
  <c r="N243" i="1"/>
  <c r="N121" i="1"/>
  <c r="N141" i="1"/>
  <c r="N260" i="1"/>
  <c r="N190" i="1"/>
  <c r="N157" i="1"/>
  <c r="N266" i="1"/>
  <c r="N62" i="1"/>
  <c r="N273" i="1"/>
  <c r="N272" i="1"/>
  <c r="R7" i="1"/>
  <c r="N91" i="1"/>
  <c r="R6" i="1"/>
  <c r="N299" i="1"/>
  <c r="R5" i="1"/>
  <c r="N241" i="1"/>
  <c r="N240" i="1"/>
  <c r="N183" i="1"/>
  <c r="N182"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D14D690-8B13-4CA2-A97D-A66AFDA03938}" keepAlive="1" name="Query - Campaign Metadata" description="Connection to the 'Campaign Metadata' query in the workbook." type="5" refreshedVersion="6" background="1" saveData="1">
    <dbPr connection="Provider=Microsoft.Mashup.OleDb.1;Data Source=$Workbook$;Location=&quot;Campaign Metadata&quot;;Extended Properties=&quot;&quot;" command="SELECT * FROM [Campaign Metadata]"/>
  </connection>
  <connection id="2" xr16:uid="{1242C563-BC42-4980-A06D-4BA408C84B7B}" keepAlive="1" name="Query - Engagement Summary" description="Connection to the 'Engagement Summary' query in the workbook." type="5" refreshedVersion="6" background="1" saveData="1">
    <dbPr connection="Provider=Microsoft.Mashup.OleDb.1;Data Source=$Workbook$;Location=&quot;Engagement Summary&quot;;Extended Properties=&quot;&quot;" command="SELECT * FROM [Engagement Summary]"/>
  </connection>
  <connection id="3" xr16:uid="{40D90D6F-0B11-483A-AA63-BCF22B1D39A2}" keepAlive="1" name="Query - Posts (2)" description="Connection to the 'Posts (2)' query in the workbook." type="5" refreshedVersion="6" background="1" saveData="1">
    <dbPr connection="Provider=Microsoft.Mashup.OleDb.1;Data Source=$Workbook$;Location=Posts (2);Extended Properties=&quot;&quot;" command="SELECT * FROM [Posts (2)]"/>
  </connection>
  <connection id="4" xr16:uid="{D73F9714-04F8-4BE5-B25F-FEEFC90183AD}" keepAlive="1" name="Query - Posts__2" description="Connection to the 'Posts__2' query in the workbook." type="5" refreshedVersion="0" background="1">
    <dbPr connection="Provider=Microsoft.Mashup.OleDb.1;Data Source=$Workbook$;Location=Posts__2;Extended Properties=&quot;&quot;" command="SELECT * FROM [Posts__2]"/>
  </connection>
</connections>
</file>

<file path=xl/sharedStrings.xml><?xml version="1.0" encoding="utf-8"?>
<sst xmlns="http://schemas.openxmlformats.org/spreadsheetml/2006/main" count="10621" uniqueCount="1896">
  <si>
    <t>Post ID</t>
  </si>
  <si>
    <t>Platform</t>
  </si>
  <si>
    <t>Date</t>
  </si>
  <si>
    <t>Content Type</t>
  </si>
  <si>
    <t>Post Text</t>
  </si>
  <si>
    <t>Likes</t>
  </si>
  <si>
    <t>Shares</t>
  </si>
  <si>
    <t>Comments</t>
  </si>
  <si>
    <t>Impressions</t>
  </si>
  <si>
    <t>Reach</t>
  </si>
  <si>
    <t>Clicks</t>
  </si>
  <si>
    <t>Campaign_Name</t>
  </si>
  <si>
    <t>P171</t>
  </si>
  <si>
    <t>Youtube</t>
  </si>
  <si>
    <t>Video</t>
  </si>
  <si>
    <t>Check Out Our Latest Video On Youtube!</t>
  </si>
  <si>
    <t>Modelycampaign</t>
  </si>
  <si>
    <t>P006</t>
  </si>
  <si>
    <t>Facebook</t>
  </si>
  <si>
    <t>31-10-2024</t>
  </si>
  <si>
    <t>Carousel</t>
  </si>
  <si>
    <t>Check Out Our Latest Carousel On Facebook!</t>
  </si>
  <si>
    <t>P141</t>
  </si>
  <si>
    <t>Twitter</t>
  </si>
  <si>
    <t>Image</t>
  </si>
  <si>
    <t>Check Out Our Latest Image On Twitter!</t>
  </si>
  <si>
    <t>P300</t>
  </si>
  <si>
    <t>Check Out Our Latest Carousel On Twitter!</t>
  </si>
  <si>
    <t>Cybertrucklaunch</t>
  </si>
  <si>
    <t>P063</t>
  </si>
  <si>
    <t>Fsdupdate</t>
  </si>
  <si>
    <t>P032</t>
  </si>
  <si>
    <t>P182</t>
  </si>
  <si>
    <t>Check Out Our Latest Image On Facebook!</t>
  </si>
  <si>
    <t>Sustainabilitydrive</t>
  </si>
  <si>
    <t>P137</t>
  </si>
  <si>
    <t>Check Out Our Latest Video On Facebook!</t>
  </si>
  <si>
    <t>P029</t>
  </si>
  <si>
    <t>Instagram</t>
  </si>
  <si>
    <t>Check Out Our Latest Carousel On Instagram!</t>
  </si>
  <si>
    <t>P199</t>
  </si>
  <si>
    <t>Check Out Our Latest Carousel On Youtube!</t>
  </si>
  <si>
    <t>P035</t>
  </si>
  <si>
    <t>Check Out Our Latest Video On Instagram!</t>
  </si>
  <si>
    <t>P009</t>
  </si>
  <si>
    <t>Text</t>
  </si>
  <si>
    <t>Check Out Our Latest Text On Facebook!</t>
  </si>
  <si>
    <t>P264</t>
  </si>
  <si>
    <t>P207</t>
  </si>
  <si>
    <t>P192</t>
  </si>
  <si>
    <t>P139</t>
  </si>
  <si>
    <t>Check Out Our Latest Text On Youtube!</t>
  </si>
  <si>
    <t>P130</t>
  </si>
  <si>
    <t>Reel</t>
  </si>
  <si>
    <t>Check Out Our Latest Reel On Youtube!</t>
  </si>
  <si>
    <t>P216</t>
  </si>
  <si>
    <t>29-07-2024</t>
  </si>
  <si>
    <t>Story</t>
  </si>
  <si>
    <t>Check Out Our Latest Story On Youtube!</t>
  </si>
  <si>
    <t>P110</t>
  </si>
  <si>
    <t>Check Out Our Latest Reel On Instagram!</t>
  </si>
  <si>
    <t>P121</t>
  </si>
  <si>
    <t>Check Out Our Latest Story On Instagram!</t>
  </si>
  <si>
    <t>P232</t>
  </si>
  <si>
    <t>Check Out Our Latest Story On Twitter!</t>
  </si>
  <si>
    <t>P067</t>
  </si>
  <si>
    <t>P138</t>
  </si>
  <si>
    <t>P135</t>
  </si>
  <si>
    <t>P289</t>
  </si>
  <si>
    <t>P167</t>
  </si>
  <si>
    <t>Check Out Our Latest Text On Instagram!</t>
  </si>
  <si>
    <t>P074</t>
  </si>
  <si>
    <t>28-10-2024</t>
  </si>
  <si>
    <t>P144</t>
  </si>
  <si>
    <t>P184</t>
  </si>
  <si>
    <t>P252</t>
  </si>
  <si>
    <t>28-04-2025</t>
  </si>
  <si>
    <t>P170</t>
  </si>
  <si>
    <t>Check Out Our Latest Text On Twitter!</t>
  </si>
  <si>
    <t>P065</t>
  </si>
  <si>
    <t>P126</t>
  </si>
  <si>
    <t>P060</t>
  </si>
  <si>
    <t>P219</t>
  </si>
  <si>
    <t>Check Out Our Latest Reel On Twitter!</t>
  </si>
  <si>
    <t>P261</t>
  </si>
  <si>
    <t>Check Out Our Latest Image On Instagram!</t>
  </si>
  <si>
    <t>P247</t>
  </si>
  <si>
    <t>Check Out Our Latest Reel On Facebook!</t>
  </si>
  <si>
    <t>P272</t>
  </si>
  <si>
    <t>P251</t>
  </si>
  <si>
    <t>P164</t>
  </si>
  <si>
    <t>P022</t>
  </si>
  <si>
    <t>P086</t>
  </si>
  <si>
    <t>27-01-2025</t>
  </si>
  <si>
    <t>P127</t>
  </si>
  <si>
    <t>P278</t>
  </si>
  <si>
    <t>P299</t>
  </si>
  <si>
    <t>26-08-2024</t>
  </si>
  <si>
    <t>P016</t>
  </si>
  <si>
    <t>P240</t>
  </si>
  <si>
    <t>P151</t>
  </si>
  <si>
    <t>P066</t>
  </si>
  <si>
    <t>P005</t>
  </si>
  <si>
    <t>P034</t>
  </si>
  <si>
    <t>P159</t>
  </si>
  <si>
    <t>25-11-2024</t>
  </si>
  <si>
    <t>Check Out Our Latest Story On Facebook!</t>
  </si>
  <si>
    <t>P039</t>
  </si>
  <si>
    <t>P266</t>
  </si>
  <si>
    <t>P244</t>
  </si>
  <si>
    <t>P286</t>
  </si>
  <si>
    <t>P108</t>
  </si>
  <si>
    <t>Check Out Our Latest Video On Twitter!</t>
  </si>
  <si>
    <t>P142</t>
  </si>
  <si>
    <t>P030</t>
  </si>
  <si>
    <t>P297</t>
  </si>
  <si>
    <t>P298</t>
  </si>
  <si>
    <t>P015</t>
  </si>
  <si>
    <t>P186</t>
  </si>
  <si>
    <t>P160</t>
  </si>
  <si>
    <t>P082</t>
  </si>
  <si>
    <t>P007</t>
  </si>
  <si>
    <t>24-06-2024</t>
  </si>
  <si>
    <t>P206</t>
  </si>
  <si>
    <t>P208</t>
  </si>
  <si>
    <t>P134</t>
  </si>
  <si>
    <t>P205</t>
  </si>
  <si>
    <t>P189</t>
  </si>
  <si>
    <t>24-03-2025</t>
  </si>
  <si>
    <t>P091</t>
  </si>
  <si>
    <t>P047</t>
  </si>
  <si>
    <t>24-02-2025</t>
  </si>
  <si>
    <t>P053</t>
  </si>
  <si>
    <t>P239</t>
  </si>
  <si>
    <t>P214</t>
  </si>
  <si>
    <t>23-12-2024</t>
  </si>
  <si>
    <t>P001</t>
  </si>
  <si>
    <t>P111</t>
  </si>
  <si>
    <t>Check Out Our Latest Image On Youtube!</t>
  </si>
  <si>
    <t>P157</t>
  </si>
  <si>
    <t>P019</t>
  </si>
  <si>
    <t>P221</t>
  </si>
  <si>
    <t>P104</t>
  </si>
  <si>
    <t>P024</t>
  </si>
  <si>
    <t>P235</t>
  </si>
  <si>
    <t>P187</t>
  </si>
  <si>
    <t>P062</t>
  </si>
  <si>
    <t>P156</t>
  </si>
  <si>
    <t>P237</t>
  </si>
  <si>
    <t>P197</t>
  </si>
  <si>
    <t>P150</t>
  </si>
  <si>
    <t>P174</t>
  </si>
  <si>
    <t>P250</t>
  </si>
  <si>
    <t>P059</t>
  </si>
  <si>
    <t>P152</t>
  </si>
  <si>
    <t>P281</t>
  </si>
  <si>
    <t>P155</t>
  </si>
  <si>
    <t>P203</t>
  </si>
  <si>
    <t>P280</t>
  </si>
  <si>
    <t>21-10-2024</t>
  </si>
  <si>
    <t>P057</t>
  </si>
  <si>
    <t>P147</t>
  </si>
  <si>
    <t>P120</t>
  </si>
  <si>
    <t>P092</t>
  </si>
  <si>
    <t>P131</t>
  </si>
  <si>
    <t>P033</t>
  </si>
  <si>
    <t>P012</t>
  </si>
  <si>
    <t>P129</t>
  </si>
  <si>
    <t>P107</t>
  </si>
  <si>
    <t>P181</t>
  </si>
  <si>
    <t>P290</t>
  </si>
  <si>
    <t>P263</t>
  </si>
  <si>
    <t>P176</t>
  </si>
  <si>
    <t>P225</t>
  </si>
  <si>
    <t>P265</t>
  </si>
  <si>
    <t>P196</t>
  </si>
  <si>
    <t>P081</t>
  </si>
  <si>
    <t>P236</t>
  </si>
  <si>
    <t>19-08-2024</t>
  </si>
  <si>
    <t>P018</t>
  </si>
  <si>
    <t>P294</t>
  </si>
  <si>
    <t>P085</t>
  </si>
  <si>
    <t>P036</t>
  </si>
  <si>
    <t>P209</t>
  </si>
  <si>
    <t>P161</t>
  </si>
  <si>
    <t>P210</t>
  </si>
  <si>
    <t>P056</t>
  </si>
  <si>
    <t>P013</t>
  </si>
  <si>
    <t>18-11-2024</t>
  </si>
  <si>
    <t>P101</t>
  </si>
  <si>
    <t>P073</t>
  </si>
  <si>
    <t>P256</t>
  </si>
  <si>
    <t>P102</t>
  </si>
  <si>
    <t>P249</t>
  </si>
  <si>
    <t>P211</t>
  </si>
  <si>
    <t>P285</t>
  </si>
  <si>
    <t>P116</t>
  </si>
  <si>
    <t>P262</t>
  </si>
  <si>
    <t>P241</t>
  </si>
  <si>
    <t>P183</t>
  </si>
  <si>
    <t>P292</t>
  </si>
  <si>
    <t>P271</t>
  </si>
  <si>
    <t>P284</t>
  </si>
  <si>
    <t>P027</t>
  </si>
  <si>
    <t>P064</t>
  </si>
  <si>
    <t>P078</t>
  </si>
  <si>
    <t>17-06-2024</t>
  </si>
  <si>
    <t>P055</t>
  </si>
  <si>
    <t>P288</t>
  </si>
  <si>
    <t>P038</t>
  </si>
  <si>
    <t>17-02-2025</t>
  </si>
  <si>
    <t>P175</t>
  </si>
  <si>
    <t>P031</t>
  </si>
  <si>
    <t>16-12-2024</t>
  </si>
  <si>
    <t>P238</t>
  </si>
  <si>
    <t>P149</t>
  </si>
  <si>
    <t>P014</t>
  </si>
  <si>
    <t>P166</t>
  </si>
  <si>
    <t>P083</t>
  </si>
  <si>
    <t>P195</t>
  </si>
  <si>
    <t>P287</t>
  </si>
  <si>
    <t>P179</t>
  </si>
  <si>
    <t>15-07-2024</t>
  </si>
  <si>
    <t>P140</t>
  </si>
  <si>
    <t>P230</t>
  </si>
  <si>
    <t>P058</t>
  </si>
  <si>
    <t>P148</t>
  </si>
  <si>
    <t>P201</t>
  </si>
  <si>
    <t>P270</t>
  </si>
  <si>
    <t>P043</t>
  </si>
  <si>
    <t>P114</t>
  </si>
  <si>
    <t>P198</t>
  </si>
  <si>
    <t>P172</t>
  </si>
  <si>
    <t>P105</t>
  </si>
  <si>
    <t>P123</t>
  </si>
  <si>
    <t>P293</t>
  </si>
  <si>
    <t>P254</t>
  </si>
  <si>
    <t>P097</t>
  </si>
  <si>
    <t>P008</t>
  </si>
  <si>
    <t>P080</t>
  </si>
  <si>
    <t>P051</t>
  </si>
  <si>
    <t>P224</t>
  </si>
  <si>
    <t>P268</t>
  </si>
  <si>
    <t>P054</t>
  </si>
  <si>
    <t>P223</t>
  </si>
  <si>
    <t>P168</t>
  </si>
  <si>
    <t>P273</t>
  </si>
  <si>
    <t>P004</t>
  </si>
  <si>
    <t>12-08-2024</t>
  </si>
  <si>
    <t>P145</t>
  </si>
  <si>
    <t>P227</t>
  </si>
  <si>
    <t>P003</t>
  </si>
  <si>
    <t>12-05-2025</t>
  </si>
  <si>
    <t>P260</t>
  </si>
  <si>
    <t>P245</t>
  </si>
  <si>
    <t>P093</t>
  </si>
  <si>
    <t>P165</t>
  </si>
  <si>
    <t>P246</t>
  </si>
  <si>
    <t>P193</t>
  </si>
  <si>
    <t>P158</t>
  </si>
  <si>
    <t>P136</t>
  </si>
  <si>
    <t>P218</t>
  </si>
  <si>
    <t>P103</t>
  </si>
  <si>
    <t>P115</t>
  </si>
  <si>
    <t>P010</t>
  </si>
  <si>
    <t>P048</t>
  </si>
  <si>
    <t>P296</t>
  </si>
  <si>
    <t>P185</t>
  </si>
  <si>
    <t>P096</t>
  </si>
  <si>
    <t>P177</t>
  </si>
  <si>
    <t>P049</t>
  </si>
  <si>
    <t>10-06-2024</t>
  </si>
  <si>
    <t>P098</t>
  </si>
  <si>
    <t>P025</t>
  </si>
  <si>
    <t>P100</t>
  </si>
  <si>
    <t>10-02-2025</t>
  </si>
  <si>
    <t>P259</t>
  </si>
  <si>
    <t>P089</t>
  </si>
  <si>
    <t>10-01-2025</t>
  </si>
  <si>
    <t>P128</t>
  </si>
  <si>
    <t>P084</t>
  </si>
  <si>
    <t>09-12-2024</t>
  </si>
  <si>
    <t>P079</t>
  </si>
  <si>
    <t>P154</t>
  </si>
  <si>
    <t>P020</t>
  </si>
  <si>
    <t>09-09-2024</t>
  </si>
  <si>
    <t>P283</t>
  </si>
  <si>
    <t>P068</t>
  </si>
  <si>
    <t>P095</t>
  </si>
  <si>
    <t>P222</t>
  </si>
  <si>
    <t>P125</t>
  </si>
  <si>
    <t>P109</t>
  </si>
  <si>
    <t>P163</t>
  </si>
  <si>
    <t>P069</t>
  </si>
  <si>
    <t>P233</t>
  </si>
  <si>
    <t>P041</t>
  </si>
  <si>
    <t>P094</t>
  </si>
  <si>
    <t>P076</t>
  </si>
  <si>
    <t>P178</t>
  </si>
  <si>
    <t>P226</t>
  </si>
  <si>
    <t>P088</t>
  </si>
  <si>
    <t>P242</t>
  </si>
  <si>
    <t>P276</t>
  </si>
  <si>
    <t>P200</t>
  </si>
  <si>
    <t>07-04-2025</t>
  </si>
  <si>
    <t>P040</t>
  </si>
  <si>
    <t>P119</t>
  </si>
  <si>
    <t>P291</t>
  </si>
  <si>
    <t>P023</t>
  </si>
  <si>
    <t>P087</t>
  </si>
  <si>
    <t>P188</t>
  </si>
  <si>
    <t>P295</t>
  </si>
  <si>
    <t>P215</t>
  </si>
  <si>
    <t>P277</t>
  </si>
  <si>
    <t>P257</t>
  </si>
  <si>
    <t>P124</t>
  </si>
  <si>
    <t>P243</t>
  </si>
  <si>
    <t>P133</t>
  </si>
  <si>
    <t>P037</t>
  </si>
  <si>
    <t>06-01-2025</t>
  </si>
  <si>
    <t>P173</t>
  </si>
  <si>
    <t>P269</t>
  </si>
  <si>
    <t>P112</t>
  </si>
  <si>
    <t>P061</t>
  </si>
  <si>
    <t>P258</t>
  </si>
  <si>
    <t>05-08-2024</t>
  </si>
  <si>
    <t>P275</t>
  </si>
  <si>
    <t>P146</t>
  </si>
  <si>
    <t>P017</t>
  </si>
  <si>
    <t>05-05-2025</t>
  </si>
  <si>
    <t>P026</t>
  </si>
  <si>
    <t>P042</t>
  </si>
  <si>
    <t>P118</t>
  </si>
  <si>
    <t>04-11-2024</t>
  </si>
  <si>
    <t>P117</t>
  </si>
  <si>
    <t>P267</t>
  </si>
  <si>
    <t>P190</t>
  </si>
  <si>
    <t>P132</t>
  </si>
  <si>
    <t>P028</t>
  </si>
  <si>
    <t>P077</t>
  </si>
  <si>
    <t>P106</t>
  </si>
  <si>
    <t>P021</t>
  </si>
  <si>
    <t>P169</t>
  </si>
  <si>
    <t>P191</t>
  </si>
  <si>
    <t>P180</t>
  </si>
  <si>
    <t>P217</t>
  </si>
  <si>
    <t>P282</t>
  </si>
  <si>
    <t>P253</t>
  </si>
  <si>
    <t>P229</t>
  </si>
  <si>
    <t>P050</t>
  </si>
  <si>
    <t>P090</t>
  </si>
  <si>
    <t>03-06-2024</t>
  </si>
  <si>
    <t>P002</t>
  </si>
  <si>
    <t>P255</t>
  </si>
  <si>
    <t>P212</t>
  </si>
  <si>
    <t>03-03-2025</t>
  </si>
  <si>
    <t>P072</t>
  </si>
  <si>
    <t>P052</t>
  </si>
  <si>
    <t>P122</t>
  </si>
  <si>
    <t>P143</t>
  </si>
  <si>
    <t>P113</t>
  </si>
  <si>
    <t>P194</t>
  </si>
  <si>
    <t>P279</t>
  </si>
  <si>
    <t>02-09-2024</t>
  </si>
  <si>
    <t>P071</t>
  </si>
  <si>
    <t>P099</t>
  </si>
  <si>
    <t>P202</t>
  </si>
  <si>
    <t>P220</t>
  </si>
  <si>
    <t>P046</t>
  </si>
  <si>
    <t>P070</t>
  </si>
  <si>
    <t>P044</t>
  </si>
  <si>
    <t>P248</t>
  </si>
  <si>
    <t>P011</t>
  </si>
  <si>
    <t>P045</t>
  </si>
  <si>
    <t>P075</t>
  </si>
  <si>
    <t>P228</t>
  </si>
  <si>
    <t>01-07-2024</t>
  </si>
  <si>
    <t>P234</t>
  </si>
  <si>
    <t>P231</t>
  </si>
  <si>
    <t>P213</t>
  </si>
  <si>
    <t>P162</t>
  </si>
  <si>
    <t>P153</t>
  </si>
  <si>
    <t>P204</t>
  </si>
  <si>
    <t>P274</t>
  </si>
  <si>
    <t>Week_Start_Date</t>
  </si>
  <si>
    <t>New_Followers</t>
  </si>
  <si>
    <t>Unfollows</t>
  </si>
  <si>
    <t>Total_Followers</t>
  </si>
  <si>
    <t>Engagement_Rate</t>
  </si>
  <si>
    <t>Ad_Spend</t>
  </si>
  <si>
    <t>08-07-2024</t>
  </si>
  <si>
    <t>22-07-2024</t>
  </si>
  <si>
    <t>16-09-2024</t>
  </si>
  <si>
    <t>23-09-2024</t>
  </si>
  <si>
    <t>30-09-2024</t>
  </si>
  <si>
    <t>07-10-2024</t>
  </si>
  <si>
    <t>14-10-2024</t>
  </si>
  <si>
    <t>11-11-2024</t>
  </si>
  <si>
    <t>02-12-2024</t>
  </si>
  <si>
    <t>30-12-2024</t>
  </si>
  <si>
    <t>13-01-2025</t>
  </si>
  <si>
    <t>20-01-2025</t>
  </si>
  <si>
    <t>03-02-2025</t>
  </si>
  <si>
    <t>10-03-2025</t>
  </si>
  <si>
    <t>17-03-2025</t>
  </si>
  <si>
    <t>31-03-2025</t>
  </si>
  <si>
    <t>14-04-2025</t>
  </si>
  <si>
    <t>21-04-2025</t>
  </si>
  <si>
    <t>Start_Date</t>
  </si>
  <si>
    <t>End_Date</t>
  </si>
  <si>
    <t>Objective</t>
  </si>
  <si>
    <t>Total_Budget</t>
  </si>
  <si>
    <t>Target_Platforms</t>
  </si>
  <si>
    <t>Primary_Hashtags</t>
  </si>
  <si>
    <t>15-06-2024</t>
  </si>
  <si>
    <t>Product Awareness</t>
  </si>
  <si>
    <t>Instagram,Facebook</t>
  </si>
  <si>
    <t>#Evrevolution,#Teslacoinnovation</t>
  </si>
  <si>
    <t>01-10-2024</t>
  </si>
  <si>
    <t>Customer Engagement</t>
  </si>
  <si>
    <t>Instagram,Youtube</t>
  </si>
  <si>
    <t>#Anytimeisteslatime,</t>
  </si>
  <si>
    <t>25-12-2024</t>
  </si>
  <si>
    <t>Vehicle Launch</t>
  </si>
  <si>
    <t>Facebook,Twitter</t>
  </si>
  <si>
    <t>#Smoothlikenitrotesla</t>
  </si>
  <si>
    <t>01-03-2025</t>
  </si>
  <si>
    <t>Community Growth</t>
  </si>
  <si>
    <t>Instagram,Twitter</t>
  </si>
  <si>
    <t>#Betterwithtesla,#Futureofdriving</t>
  </si>
  <si>
    <t>Average Engagement Rate</t>
  </si>
  <si>
    <t>Average Engagement Rate per platform</t>
  </si>
  <si>
    <t>Top 10 Tesla Post with Highest Engagement Rate</t>
  </si>
  <si>
    <t>Row Labels</t>
  </si>
  <si>
    <t>Grand Total</t>
  </si>
  <si>
    <t>Sum of Likes</t>
  </si>
  <si>
    <t>Sum of Shares</t>
  </si>
  <si>
    <t>Sum of Comments</t>
  </si>
  <si>
    <t>#Futureofdriving</t>
  </si>
  <si>
    <t>#Teslacoinnovation</t>
  </si>
  <si>
    <t>#Evrevolution</t>
  </si>
  <si>
    <t>#Betterwithtesla</t>
  </si>
  <si>
    <t>#Anytimeisteslatime</t>
  </si>
  <si>
    <t>Task 2.1</t>
  </si>
  <si>
    <t>Task 2.2</t>
  </si>
  <si>
    <t>Task 2.3</t>
  </si>
  <si>
    <t>Hashtags</t>
  </si>
  <si>
    <t>Average Clicks</t>
  </si>
  <si>
    <t>#AnytimeIsTeslaTime</t>
  </si>
  <si>
    <t>IFERROR(AVERAGEIF($K$1:$K$301,$L$1:$L$301,$AB4),AVERAGEIF($K$1:$K$301,$M$1:$M$301,$AB4),AVERAGEIF($K$1:$K$301,$N$1:$N$301,$AB4),0))</t>
  </si>
  <si>
    <t>Total Engagement</t>
  </si>
  <si>
    <t>Highest Engagement</t>
  </si>
  <si>
    <t>Growth Rate</t>
  </si>
  <si>
    <t>Average of Growth Rate</t>
  </si>
  <si>
    <t>Task 3.1</t>
  </si>
  <si>
    <t>Total Likes</t>
  </si>
  <si>
    <t>Average Likes</t>
  </si>
  <si>
    <t>Total Impressions</t>
  </si>
  <si>
    <t>Average Impressions</t>
  </si>
  <si>
    <t>Total Clicks</t>
  </si>
  <si>
    <t>Start Date</t>
  </si>
  <si>
    <t>End Date</t>
  </si>
  <si>
    <t>Campaign Name</t>
  </si>
  <si>
    <t>Total Budget</t>
  </si>
  <si>
    <t>Target Platforms</t>
  </si>
  <si>
    <t>ROI (Total Engagement/Total Budget</t>
  </si>
  <si>
    <t>Task 5.3</t>
  </si>
  <si>
    <t>Task 5.1</t>
  </si>
  <si>
    <t>Growth Rate %</t>
  </si>
  <si>
    <t>Net growth</t>
  </si>
  <si>
    <t>Net Growth</t>
  </si>
  <si>
    <t>Average of Net Growth</t>
  </si>
  <si>
    <t>Task 3.2</t>
  </si>
  <si>
    <t>Comparison Follower Growth Rate</t>
  </si>
  <si>
    <t>Average of Ad_Spend</t>
  </si>
  <si>
    <t>Average of Engagement_Rate</t>
  </si>
  <si>
    <t>Platforms</t>
  </si>
  <si>
    <t>Task 3.3</t>
  </si>
  <si>
    <t>Column Labels</t>
  </si>
  <si>
    <t>Sum of Net growth</t>
  </si>
  <si>
    <t>Task 6.1</t>
  </si>
  <si>
    <t>Task 6.2</t>
  </si>
  <si>
    <t>Peak week</t>
  </si>
  <si>
    <t>Peak Growth</t>
  </si>
  <si>
    <t>Task 6.4</t>
  </si>
  <si>
    <t>maxifs</t>
  </si>
  <si>
    <t>Highest</t>
  </si>
  <si>
    <t>highest</t>
  </si>
  <si>
    <t>Task 4.1</t>
  </si>
  <si>
    <t>Engagement Rate</t>
  </si>
  <si>
    <t>Average of Engagement Rate</t>
  </si>
  <si>
    <t>Average of Clicks</t>
  </si>
  <si>
    <t>Hashtags Used</t>
  </si>
  <si>
    <t>Check out our latest reel on twitter!</t>
  </si>
  <si>
    <t>futureofdriving</t>
  </si>
  <si>
    <t>CybertruckLaunch</t>
  </si>
  <si>
    <t>anytimeisteslatime</t>
  </si>
  <si>
    <t>Check out our latest text on twitter!</t>
  </si>
  <si>
    <t>teslacoinnovation</t>
  </si>
  <si>
    <t>ModelYCampaign</t>
  </si>
  <si>
    <t>betterwithtesla</t>
  </si>
  <si>
    <t>YouTube</t>
  </si>
  <si>
    <t>Check out our latest reel on youtube!</t>
  </si>
  <si>
    <t>FSDUpdate</t>
  </si>
  <si>
    <t>Check out our latest story on instagram!</t>
  </si>
  <si>
    <t>evrevolution</t>
  </si>
  <si>
    <t>SustainabilityDrive</t>
  </si>
  <si>
    <t>Check out our latest carousel on facebook!</t>
  </si>
  <si>
    <t>Check out our latest carousel on twitter!</t>
  </si>
  <si>
    <t>Check out our latest image on youtube!</t>
  </si>
  <si>
    <t>Check out our latest text on facebook!</t>
  </si>
  <si>
    <t>Check out our latest image on facebook!</t>
  </si>
  <si>
    <t>Check out our latest reel on facebook!</t>
  </si>
  <si>
    <t>Check out our latest carousel on youtube!</t>
  </si>
  <si>
    <t>Check out our latest story on facebook!</t>
  </si>
  <si>
    <t>Check out our latest video on facebook!</t>
  </si>
  <si>
    <t>Check out our latest reel on instagram!</t>
  </si>
  <si>
    <t>Check out our latest video on instagram!</t>
  </si>
  <si>
    <t>Check out our latest carousel on instagram!</t>
  </si>
  <si>
    <t>Check out our latest text on youtube!</t>
  </si>
  <si>
    <t>Check out our latest text on instagram!</t>
  </si>
  <si>
    <t>Check out our latest image on twitter!</t>
  </si>
  <si>
    <t>Check out our latest video on twitter!</t>
  </si>
  <si>
    <t>Check out our latest story on twitter!</t>
  </si>
  <si>
    <t>Check out our latest story on youtube!</t>
  </si>
  <si>
    <t>Check out our latest image on instagram!</t>
  </si>
  <si>
    <t>Check out our latest video on youtube!</t>
  </si>
  <si>
    <t>smoothlikenitrotesla</t>
  </si>
  <si>
    <t>1018</t>
  </si>
  <si>
    <t>447</t>
  </si>
  <si>
    <t>332</t>
  </si>
  <si>
    <t>18324</t>
  </si>
  <si>
    <t>18164</t>
  </si>
  <si>
    <t>38</t>
  </si>
  <si>
    <t/>
  </si>
  <si>
    <t>2945</t>
  </si>
  <si>
    <t>930</t>
  </si>
  <si>
    <t>355</t>
  </si>
  <si>
    <t>23560</t>
  </si>
  <si>
    <t>23275</t>
  </si>
  <si>
    <t>256</t>
  </si>
  <si>
    <t>3170</t>
  </si>
  <si>
    <t>857</t>
  </si>
  <si>
    <t>379</t>
  </si>
  <si>
    <t>19020</t>
  </si>
  <si>
    <t>18559</t>
  </si>
  <si>
    <t>240</t>
  </si>
  <si>
    <t>4494</t>
  </si>
  <si>
    <t>717</t>
  </si>
  <si>
    <t>45</t>
  </si>
  <si>
    <t>62916</t>
  </si>
  <si>
    <t>62688</t>
  </si>
  <si>
    <t>191</t>
  </si>
  <si>
    <t>4507</t>
  </si>
  <si>
    <t>217</t>
  </si>
  <si>
    <t>13</t>
  </si>
  <si>
    <t>90140</t>
  </si>
  <si>
    <t>89591</t>
  </si>
  <si>
    <t>125</t>
  </si>
  <si>
    <t>2278</t>
  </si>
  <si>
    <t>10</t>
  </si>
  <si>
    <t>321</t>
  </si>
  <si>
    <t>13668</t>
  </si>
  <si>
    <t>12676</t>
  </si>
  <si>
    <t>275</t>
  </si>
  <si>
    <t>4689</t>
  </si>
  <si>
    <t>134</t>
  </si>
  <si>
    <t>403</t>
  </si>
  <si>
    <t>51579</t>
  </si>
  <si>
    <t>50924</t>
  </si>
  <si>
    <t>173</t>
  </si>
  <si>
    <t>3008</t>
  </si>
  <si>
    <t>94</t>
  </si>
  <si>
    <t>37</t>
  </si>
  <si>
    <t>15040</t>
  </si>
  <si>
    <t>14639</t>
  </si>
  <si>
    <t>277</t>
  </si>
  <si>
    <t>2566</t>
  </si>
  <si>
    <t>118</t>
  </si>
  <si>
    <t>12830</t>
  </si>
  <si>
    <t>12264</t>
  </si>
  <si>
    <t>221</t>
  </si>
  <si>
    <t>2509</t>
  </si>
  <si>
    <t>324</t>
  </si>
  <si>
    <t>171</t>
  </si>
  <si>
    <t>35126</t>
  </si>
  <si>
    <t>34685</t>
  </si>
  <si>
    <t>3775</t>
  </si>
  <si>
    <t>16</t>
  </si>
  <si>
    <t>239</t>
  </si>
  <si>
    <t>33975</t>
  </si>
  <si>
    <t>33310</t>
  </si>
  <si>
    <t>271</t>
  </si>
  <si>
    <t>3784</t>
  </si>
  <si>
    <t>808</t>
  </si>
  <si>
    <t>404</t>
  </si>
  <si>
    <t>56760</t>
  </si>
  <si>
    <t>56343</t>
  </si>
  <si>
    <t>131</t>
  </si>
  <si>
    <t>59</t>
  </si>
  <si>
    <t>163</t>
  </si>
  <si>
    <t>93</t>
  </si>
  <si>
    <t>590</t>
  </si>
  <si>
    <t>475</t>
  </si>
  <si>
    <t>293</t>
  </si>
  <si>
    <t>4274</t>
  </si>
  <si>
    <t>340</t>
  </si>
  <si>
    <t>281</t>
  </si>
  <si>
    <t>34192</t>
  </si>
  <si>
    <t>33446</t>
  </si>
  <si>
    <t>129</t>
  </si>
  <si>
    <t>1176</t>
  </si>
  <si>
    <t>464</t>
  </si>
  <si>
    <t>394</t>
  </si>
  <si>
    <t>14112</t>
  </si>
  <si>
    <t>13588</t>
  </si>
  <si>
    <t>272</t>
  </si>
  <si>
    <t>2746</t>
  </si>
  <si>
    <t>156</t>
  </si>
  <si>
    <t>203</t>
  </si>
  <si>
    <t>32952</t>
  </si>
  <si>
    <t>32147</t>
  </si>
  <si>
    <t>147</t>
  </si>
  <si>
    <t>2936</t>
  </si>
  <si>
    <t>439</t>
  </si>
  <si>
    <t>44</t>
  </si>
  <si>
    <t>38168</t>
  </si>
  <si>
    <t>37571</t>
  </si>
  <si>
    <t>22</t>
  </si>
  <si>
    <t>1509</t>
  </si>
  <si>
    <t>88</t>
  </si>
  <si>
    <t>30180</t>
  </si>
  <si>
    <t>29689</t>
  </si>
  <si>
    <t>119</t>
  </si>
  <si>
    <t>3523</t>
  </si>
  <si>
    <t>753</t>
  </si>
  <si>
    <t>482</t>
  </si>
  <si>
    <t>38753</t>
  </si>
  <si>
    <t>38579</t>
  </si>
  <si>
    <t>270</t>
  </si>
  <si>
    <t>498</t>
  </si>
  <si>
    <t>701</t>
  </si>
  <si>
    <t>412</t>
  </si>
  <si>
    <t>4980</t>
  </si>
  <si>
    <t>4185</t>
  </si>
  <si>
    <t>185</t>
  </si>
  <si>
    <t>249</t>
  </si>
  <si>
    <t>592</t>
  </si>
  <si>
    <t>230</t>
  </si>
  <si>
    <t>1494</t>
  </si>
  <si>
    <t>1044</t>
  </si>
  <si>
    <t>201</t>
  </si>
  <si>
    <t>4712</t>
  </si>
  <si>
    <t>568</t>
  </si>
  <si>
    <t>127</t>
  </si>
  <si>
    <t>84816</t>
  </si>
  <si>
    <t>84691</t>
  </si>
  <si>
    <t>100</t>
  </si>
  <si>
    <t>305</t>
  </si>
  <si>
    <t>187</t>
  </si>
  <si>
    <t>243</t>
  </si>
  <si>
    <t>4575</t>
  </si>
  <si>
    <t>3704</t>
  </si>
  <si>
    <t>234</t>
  </si>
  <si>
    <t>4213</t>
  </si>
  <si>
    <t>253</t>
  </si>
  <si>
    <t>434</t>
  </si>
  <si>
    <t>75834</t>
  </si>
  <si>
    <t>75437</t>
  </si>
  <si>
    <t>2751</t>
  </si>
  <si>
    <t>33</t>
  </si>
  <si>
    <t>430</t>
  </si>
  <si>
    <t>44016</t>
  </si>
  <si>
    <t>43415</t>
  </si>
  <si>
    <t>4771</t>
  </si>
  <si>
    <t>818</t>
  </si>
  <si>
    <t>56</t>
  </si>
  <si>
    <t>57252</t>
  </si>
  <si>
    <t>56378</t>
  </si>
  <si>
    <t>150</t>
  </si>
  <si>
    <t>1855</t>
  </si>
  <si>
    <t>200</t>
  </si>
  <si>
    <t>174</t>
  </si>
  <si>
    <t>16695</t>
  </si>
  <si>
    <t>16330</t>
  </si>
  <si>
    <t>123</t>
  </si>
  <si>
    <t>4929</t>
  </si>
  <si>
    <t>749</t>
  </si>
  <si>
    <t>452</t>
  </si>
  <si>
    <t>93651</t>
  </si>
  <si>
    <t>92810</t>
  </si>
  <si>
    <t>66</t>
  </si>
  <si>
    <t>3215</t>
  </si>
  <si>
    <t>960</t>
  </si>
  <si>
    <t>202</t>
  </si>
  <si>
    <t>32150</t>
  </si>
  <si>
    <t>31404</t>
  </si>
  <si>
    <t>251</t>
  </si>
  <si>
    <t>2089</t>
  </si>
  <si>
    <t>476</t>
  </si>
  <si>
    <t>69</t>
  </si>
  <si>
    <t>16712</t>
  </si>
  <si>
    <t>16309</t>
  </si>
  <si>
    <t>64</t>
  </si>
  <si>
    <t>3577</t>
  </si>
  <si>
    <t>596</t>
  </si>
  <si>
    <t>493</t>
  </si>
  <si>
    <t>67963</t>
  </si>
  <si>
    <t>67839</t>
  </si>
  <si>
    <t>53</t>
  </si>
  <si>
    <t>1881</t>
  </si>
  <si>
    <t>501</t>
  </si>
  <si>
    <t>99</t>
  </si>
  <si>
    <t>20691</t>
  </si>
  <si>
    <t>19987</t>
  </si>
  <si>
    <t>289</t>
  </si>
  <si>
    <t>4158</t>
  </si>
  <si>
    <t>167</t>
  </si>
  <si>
    <t>241</t>
  </si>
  <si>
    <t>45738</t>
  </si>
  <si>
    <t>45183</t>
  </si>
  <si>
    <t>142</t>
  </si>
  <si>
    <t>904</t>
  </si>
  <si>
    <t>973</t>
  </si>
  <si>
    <t>63</t>
  </si>
  <si>
    <t>11752</t>
  </si>
  <si>
    <t>11580</t>
  </si>
  <si>
    <t>84</t>
  </si>
  <si>
    <t>1188</t>
  </si>
  <si>
    <t>470</t>
  </si>
  <si>
    <t>7128</t>
  </si>
  <si>
    <t>6145</t>
  </si>
  <si>
    <t>4853</t>
  </si>
  <si>
    <t>837</t>
  </si>
  <si>
    <t>72795</t>
  </si>
  <si>
    <t>72237</t>
  </si>
  <si>
    <t>170</t>
  </si>
  <si>
    <t>3960</t>
  </si>
  <si>
    <t>266</t>
  </si>
  <si>
    <t>8</t>
  </si>
  <si>
    <t>35640</t>
  </si>
  <si>
    <t>34850</t>
  </si>
  <si>
    <t>208</t>
  </si>
  <si>
    <t>4941</t>
  </si>
  <si>
    <t>414</t>
  </si>
  <si>
    <t>39528</t>
  </si>
  <si>
    <t>39154</t>
  </si>
  <si>
    <t>1377</t>
  </si>
  <si>
    <t>796</t>
  </si>
  <si>
    <t>387</t>
  </si>
  <si>
    <t>22032</t>
  </si>
  <si>
    <t>21869</t>
  </si>
  <si>
    <t>189</t>
  </si>
  <si>
    <t>4934</t>
  </si>
  <si>
    <t>971</t>
  </si>
  <si>
    <t>39472</t>
  </si>
  <si>
    <t>39025</t>
  </si>
  <si>
    <t>169</t>
  </si>
  <si>
    <t>1570</t>
  </si>
  <si>
    <t>260</t>
  </si>
  <si>
    <t>25120</t>
  </si>
  <si>
    <t>24613</t>
  </si>
  <si>
    <t>133</t>
  </si>
  <si>
    <t>3428</t>
  </si>
  <si>
    <t>85</t>
  </si>
  <si>
    <t>58276</t>
  </si>
  <si>
    <t>58052</t>
  </si>
  <si>
    <t>242</t>
  </si>
  <si>
    <t>3452</t>
  </si>
  <si>
    <t>652</t>
  </si>
  <si>
    <t>442</t>
  </si>
  <si>
    <t>65588</t>
  </si>
  <si>
    <t>65049</t>
  </si>
  <si>
    <t>158</t>
  </si>
  <si>
    <t>4516</t>
  </si>
  <si>
    <t>836</t>
  </si>
  <si>
    <t>49676</t>
  </si>
  <si>
    <t>49257</t>
  </si>
  <si>
    <t>282</t>
  </si>
  <si>
    <t>2581</t>
  </si>
  <si>
    <t>517</t>
  </si>
  <si>
    <t>117</t>
  </si>
  <si>
    <t>23229</t>
  </si>
  <si>
    <t>22331</t>
  </si>
  <si>
    <t>70</t>
  </si>
  <si>
    <t>377</t>
  </si>
  <si>
    <t>360</t>
  </si>
  <si>
    <t>55232</t>
  </si>
  <si>
    <t>55075</t>
  </si>
  <si>
    <t>87</t>
  </si>
  <si>
    <t>929</t>
  </si>
  <si>
    <t>192</t>
  </si>
  <si>
    <t>322</t>
  </si>
  <si>
    <t>16722</t>
  </si>
  <si>
    <t>15996</t>
  </si>
  <si>
    <t>145</t>
  </si>
  <si>
    <t>3559</t>
  </si>
  <si>
    <t>35590</t>
  </si>
  <si>
    <t>35105</t>
  </si>
  <si>
    <t>122</t>
  </si>
  <si>
    <t>432</t>
  </si>
  <si>
    <t>280</t>
  </si>
  <si>
    <t>3024</t>
  </si>
  <si>
    <t>2285</t>
  </si>
  <si>
    <t>184</t>
  </si>
  <si>
    <t>3557</t>
  </si>
  <si>
    <t>687</t>
  </si>
  <si>
    <t>424</t>
  </si>
  <si>
    <t>71140</t>
  </si>
  <si>
    <t>70701</t>
  </si>
  <si>
    <t>224</t>
  </si>
  <si>
    <t>1652</t>
  </si>
  <si>
    <t>89</t>
  </si>
  <si>
    <t>357</t>
  </si>
  <si>
    <t>29736</t>
  </si>
  <si>
    <t>28771</t>
  </si>
  <si>
    <t>215</t>
  </si>
  <si>
    <t>2120</t>
  </si>
  <si>
    <t>488</t>
  </si>
  <si>
    <t>12720</t>
  </si>
  <si>
    <t>12085</t>
  </si>
  <si>
    <t>17</t>
  </si>
  <si>
    <t>3564</t>
  </si>
  <si>
    <t>629</t>
  </si>
  <si>
    <t>177</t>
  </si>
  <si>
    <t>60588</t>
  </si>
  <si>
    <t>59627</t>
  </si>
  <si>
    <t>92</t>
  </si>
  <si>
    <t>4182</t>
  </si>
  <si>
    <t>640</t>
  </si>
  <si>
    <t>50184</t>
  </si>
  <si>
    <t>49351</t>
  </si>
  <si>
    <t>4661</t>
  </si>
  <si>
    <t>935</t>
  </si>
  <si>
    <t>433</t>
  </si>
  <si>
    <t>23305</t>
  </si>
  <si>
    <t>22583</t>
  </si>
  <si>
    <t>3389</t>
  </si>
  <si>
    <t>344</t>
  </si>
  <si>
    <t>229</t>
  </si>
  <si>
    <t>20334</t>
  </si>
  <si>
    <t>19443</t>
  </si>
  <si>
    <t>228</t>
  </si>
  <si>
    <t>4050</t>
  </si>
  <si>
    <t>871</t>
  </si>
  <si>
    <t>347</t>
  </si>
  <si>
    <t>52650</t>
  </si>
  <si>
    <t>51755</t>
  </si>
  <si>
    <t>209</t>
  </si>
  <si>
    <t>2070</t>
  </si>
  <si>
    <t>386</t>
  </si>
  <si>
    <t>39330</t>
  </si>
  <si>
    <t>38627</t>
  </si>
  <si>
    <t>114</t>
  </si>
  <si>
    <t>3095</t>
  </si>
  <si>
    <t>39</t>
  </si>
  <si>
    <t>78</t>
  </si>
  <si>
    <t>55710</t>
  </si>
  <si>
    <t>54808</t>
  </si>
  <si>
    <t>2166</t>
  </si>
  <si>
    <t>354</t>
  </si>
  <si>
    <t>10830</t>
  </si>
  <si>
    <t>10245</t>
  </si>
  <si>
    <t>24</t>
  </si>
  <si>
    <t>4303</t>
  </si>
  <si>
    <t>451</t>
  </si>
  <si>
    <t>286</t>
  </si>
  <si>
    <t>86060</t>
  </si>
  <si>
    <t>85823</t>
  </si>
  <si>
    <t>14</t>
  </si>
  <si>
    <t>3888</t>
  </si>
  <si>
    <t>604</t>
  </si>
  <si>
    <t>128</t>
  </si>
  <si>
    <t>77760</t>
  </si>
  <si>
    <t>77167</t>
  </si>
  <si>
    <t>20</t>
  </si>
  <si>
    <t>4292</t>
  </si>
  <si>
    <t>51</t>
  </si>
  <si>
    <t>392</t>
  </si>
  <si>
    <t>55796</t>
  </si>
  <si>
    <t>54826</t>
  </si>
  <si>
    <t>264</t>
  </si>
  <si>
    <t>1082</t>
  </si>
  <si>
    <t>484</t>
  </si>
  <si>
    <t>19476</t>
  </si>
  <si>
    <t>18654</t>
  </si>
  <si>
    <t>725</t>
  </si>
  <si>
    <t>428</t>
  </si>
  <si>
    <t>14500</t>
  </si>
  <si>
    <t>13637</t>
  </si>
  <si>
    <t>3860</t>
  </si>
  <si>
    <t>279</t>
  </si>
  <si>
    <t>61760</t>
  </si>
  <si>
    <t>61660</t>
  </si>
  <si>
    <t>235</t>
  </si>
  <si>
    <t>941</t>
  </si>
  <si>
    <t>121</t>
  </si>
  <si>
    <t>458</t>
  </si>
  <si>
    <t>14115</t>
  </si>
  <si>
    <t>13838</t>
  </si>
  <si>
    <t>2949</t>
  </si>
  <si>
    <t>44235</t>
  </si>
  <si>
    <t>43705</t>
  </si>
  <si>
    <t>135</t>
  </si>
  <si>
    <t>3731</t>
  </si>
  <si>
    <t>115</t>
  </si>
  <si>
    <t>55965</t>
  </si>
  <si>
    <t>55436</t>
  </si>
  <si>
    <t>103</t>
  </si>
  <si>
    <t>3820</t>
  </si>
  <si>
    <t>697</t>
  </si>
  <si>
    <t>268</t>
  </si>
  <si>
    <t>45840</t>
  </si>
  <si>
    <t>45631</t>
  </si>
  <si>
    <t>3360</t>
  </si>
  <si>
    <t>525</t>
  </si>
  <si>
    <t>500</t>
  </si>
  <si>
    <t>60480</t>
  </si>
  <si>
    <t>59610</t>
  </si>
  <si>
    <t>1263</t>
  </si>
  <si>
    <t>397</t>
  </si>
  <si>
    <t>25260</t>
  </si>
  <si>
    <t>24615</t>
  </si>
  <si>
    <t>137</t>
  </si>
  <si>
    <t>2704</t>
  </si>
  <si>
    <t>752</t>
  </si>
  <si>
    <t>153</t>
  </si>
  <si>
    <t>21632</t>
  </si>
  <si>
    <t>20792</t>
  </si>
  <si>
    <t>804</t>
  </si>
  <si>
    <t>639</t>
  </si>
  <si>
    <t>43</t>
  </si>
  <si>
    <t>4020</t>
  </si>
  <si>
    <t>3144</t>
  </si>
  <si>
    <t>11</t>
  </si>
  <si>
    <t>4188</t>
  </si>
  <si>
    <t>942</t>
  </si>
  <si>
    <t>20940</t>
  </si>
  <si>
    <t>20471</t>
  </si>
  <si>
    <t>102</t>
  </si>
  <si>
    <t>521</t>
  </si>
  <si>
    <t>746</t>
  </si>
  <si>
    <t>315</t>
  </si>
  <si>
    <t>4168</t>
  </si>
  <si>
    <t>3399</t>
  </si>
  <si>
    <t>1461</t>
  </si>
  <si>
    <t>21915</t>
  </si>
  <si>
    <t>21675</t>
  </si>
  <si>
    <t>15</t>
  </si>
  <si>
    <t>2719</t>
  </si>
  <si>
    <t>285</t>
  </si>
  <si>
    <t>40785</t>
  </si>
  <si>
    <t>40281</t>
  </si>
  <si>
    <t>40</t>
  </si>
  <si>
    <t>4775</t>
  </si>
  <si>
    <t>206</t>
  </si>
  <si>
    <t>47750</t>
  </si>
  <si>
    <t>47544</t>
  </si>
  <si>
    <t>1071</t>
  </si>
  <si>
    <t>519</t>
  </si>
  <si>
    <t>16065</t>
  </si>
  <si>
    <t>15865</t>
  </si>
  <si>
    <t>4453</t>
  </si>
  <si>
    <t>111</t>
  </si>
  <si>
    <t>420</t>
  </si>
  <si>
    <t>31171</t>
  </si>
  <si>
    <t>30565</t>
  </si>
  <si>
    <t>23</t>
  </si>
  <si>
    <t>3655</t>
  </si>
  <si>
    <t>32895</t>
  </si>
  <si>
    <t>32015</t>
  </si>
  <si>
    <t>199</t>
  </si>
  <si>
    <t>3961</t>
  </si>
  <si>
    <t>761</t>
  </si>
  <si>
    <t>67337</t>
  </si>
  <si>
    <t>66615</t>
  </si>
  <si>
    <t>161</t>
  </si>
  <si>
    <t>3196</t>
  </si>
  <si>
    <t>376</t>
  </si>
  <si>
    <t>35156</t>
  </si>
  <si>
    <t>34444</t>
  </si>
  <si>
    <t>1644</t>
  </si>
  <si>
    <t>546</t>
  </si>
  <si>
    <t>27948</t>
  </si>
  <si>
    <t>27184</t>
  </si>
  <si>
    <t>300</t>
  </si>
  <si>
    <t>81</t>
  </si>
  <si>
    <t>954</t>
  </si>
  <si>
    <t>7</t>
  </si>
  <si>
    <t>148</t>
  </si>
  <si>
    <t>3352</t>
  </si>
  <si>
    <t>43576</t>
  </si>
  <si>
    <t>43338</t>
  </si>
  <si>
    <t>3770</t>
  </si>
  <si>
    <t>917</t>
  </si>
  <si>
    <t>71630</t>
  </si>
  <si>
    <t>71322</t>
  </si>
  <si>
    <t>76</t>
  </si>
  <si>
    <t>4782</t>
  </si>
  <si>
    <t>721</t>
  </si>
  <si>
    <t>82</t>
  </si>
  <si>
    <t>86076</t>
  </si>
  <si>
    <t>85339</t>
  </si>
  <si>
    <t>19</t>
  </si>
  <si>
    <t>4295</t>
  </si>
  <si>
    <t>853</t>
  </si>
  <si>
    <t>325</t>
  </si>
  <si>
    <t>85900</t>
  </si>
  <si>
    <t>85788</t>
  </si>
  <si>
    <t>290</t>
  </si>
  <si>
    <t>3828</t>
  </si>
  <si>
    <t>30624</t>
  </si>
  <si>
    <t>30229</t>
  </si>
  <si>
    <t>3813</t>
  </si>
  <si>
    <t>274</t>
  </si>
  <si>
    <t>68634</t>
  </si>
  <si>
    <t>68488</t>
  </si>
  <si>
    <t>2180</t>
  </si>
  <si>
    <t>263</t>
  </si>
  <si>
    <t>30520</t>
  </si>
  <si>
    <t>30059</t>
  </si>
  <si>
    <t>4804</t>
  </si>
  <si>
    <t>550</t>
  </si>
  <si>
    <t>28824</t>
  </si>
  <si>
    <t>28370</t>
  </si>
  <si>
    <t>47</t>
  </si>
  <si>
    <t>3166</t>
  </si>
  <si>
    <t>90</t>
  </si>
  <si>
    <t>341</t>
  </si>
  <si>
    <t>56988</t>
  </si>
  <si>
    <t>56125</t>
  </si>
  <si>
    <t>2283</t>
  </si>
  <si>
    <t>210</t>
  </si>
  <si>
    <t>130</t>
  </si>
  <si>
    <t>22830</t>
  </si>
  <si>
    <t>22617</t>
  </si>
  <si>
    <t>143</t>
  </si>
  <si>
    <t>3773</t>
  </si>
  <si>
    <t>299</t>
  </si>
  <si>
    <t>71687</t>
  </si>
  <si>
    <t>71447</t>
  </si>
  <si>
    <t>4275</t>
  </si>
  <si>
    <t>680</t>
  </si>
  <si>
    <t>385</t>
  </si>
  <si>
    <t>64125</t>
  </si>
  <si>
    <t>63650</t>
  </si>
  <si>
    <t>104</t>
  </si>
  <si>
    <t>2825</t>
  </si>
  <si>
    <t>535</t>
  </si>
  <si>
    <t>295</t>
  </si>
  <si>
    <t>45200</t>
  </si>
  <si>
    <t>44739</t>
  </si>
  <si>
    <t>3256</t>
  </si>
  <si>
    <t>459</t>
  </si>
  <si>
    <t>26048</t>
  </si>
  <si>
    <t>25529</t>
  </si>
  <si>
    <t>780</t>
  </si>
  <si>
    <t>928</t>
  </si>
  <si>
    <t>301</t>
  </si>
  <si>
    <t>8580</t>
  </si>
  <si>
    <t>8081</t>
  </si>
  <si>
    <t>91</t>
  </si>
  <si>
    <t>3801</t>
  </si>
  <si>
    <t>967</t>
  </si>
  <si>
    <t>401</t>
  </si>
  <si>
    <t>38010</t>
  </si>
  <si>
    <t>37625</t>
  </si>
  <si>
    <t>236</t>
  </si>
  <si>
    <t>4840</t>
  </si>
  <si>
    <t>658</t>
  </si>
  <si>
    <t>211</t>
  </si>
  <si>
    <t>43560</t>
  </si>
  <si>
    <t>43225</t>
  </si>
  <si>
    <t>57</t>
  </si>
  <si>
    <t>1407</t>
  </si>
  <si>
    <t>400</t>
  </si>
  <si>
    <t>351</t>
  </si>
  <si>
    <t>16884</t>
  </si>
  <si>
    <t>15954</t>
  </si>
  <si>
    <t>113</t>
  </si>
  <si>
    <t>1946</t>
  </si>
  <si>
    <t>686</t>
  </si>
  <si>
    <t>23352</t>
  </si>
  <si>
    <t>22982</t>
  </si>
  <si>
    <t>213</t>
  </si>
  <si>
    <t>2147</t>
  </si>
  <si>
    <t>393</t>
  </si>
  <si>
    <t>17176</t>
  </si>
  <si>
    <t>16483</t>
  </si>
  <si>
    <t>4832</t>
  </si>
  <si>
    <t>893</t>
  </si>
  <si>
    <t>91808</t>
  </si>
  <si>
    <t>91296</t>
  </si>
  <si>
    <t>182</t>
  </si>
  <si>
    <t>606</t>
  </si>
  <si>
    <t>789</t>
  </si>
  <si>
    <t>7878</t>
  </si>
  <si>
    <t>7389</t>
  </si>
  <si>
    <t>2107</t>
  </si>
  <si>
    <t>349</t>
  </si>
  <si>
    <t>35819</t>
  </si>
  <si>
    <t>35340</t>
  </si>
  <si>
    <t>2603</t>
  </si>
  <si>
    <t>690</t>
  </si>
  <si>
    <t>205</t>
  </si>
  <si>
    <t>13015</t>
  </si>
  <si>
    <t>12130</t>
  </si>
  <si>
    <t>3798</t>
  </si>
  <si>
    <t>31</t>
  </si>
  <si>
    <t>75960</t>
  </si>
  <si>
    <t>75813</t>
  </si>
  <si>
    <t>4672</t>
  </si>
  <si>
    <t>32</t>
  </si>
  <si>
    <t>88768</t>
  </si>
  <si>
    <t>87833</t>
  </si>
  <si>
    <t>1877</t>
  </si>
  <si>
    <t>745</t>
  </si>
  <si>
    <t>225</t>
  </si>
  <si>
    <t>11262</t>
  </si>
  <si>
    <t>10967</t>
  </si>
  <si>
    <t>41</t>
  </si>
  <si>
    <t>1813</t>
  </si>
  <si>
    <t>623</t>
  </si>
  <si>
    <t>72</t>
  </si>
  <si>
    <t>19943</t>
  </si>
  <si>
    <t>18959</t>
  </si>
  <si>
    <t>1816</t>
  </si>
  <si>
    <t>29</t>
  </si>
  <si>
    <t>19976</t>
  </si>
  <si>
    <t>19262</t>
  </si>
  <si>
    <t>283</t>
  </si>
  <si>
    <t>1257</t>
  </si>
  <si>
    <t>12570</t>
  </si>
  <si>
    <t>11660</t>
  </si>
  <si>
    <t>194</t>
  </si>
  <si>
    <t>3000</t>
  </si>
  <si>
    <t>382</t>
  </si>
  <si>
    <t>36000</t>
  </si>
  <si>
    <t>4731</t>
  </si>
  <si>
    <t>276</t>
  </si>
  <si>
    <t>28386</t>
  </si>
  <si>
    <t>28185</t>
  </si>
  <si>
    <t>4177</t>
  </si>
  <si>
    <t>569</t>
  </si>
  <si>
    <t>55</t>
  </si>
  <si>
    <t>25062</t>
  </si>
  <si>
    <t>24847</t>
  </si>
  <si>
    <t>4518</t>
  </si>
  <si>
    <t>383</t>
  </si>
  <si>
    <t>67770</t>
  </si>
  <si>
    <t>67621</t>
  </si>
  <si>
    <t>3160</t>
  </si>
  <si>
    <t>204</t>
  </si>
  <si>
    <t>297</t>
  </si>
  <si>
    <t>44240</t>
  </si>
  <si>
    <t>43666</t>
  </si>
  <si>
    <t>49</t>
  </si>
  <si>
    <t>4671</t>
  </si>
  <si>
    <t>876</t>
  </si>
  <si>
    <t>366</t>
  </si>
  <si>
    <t>51381</t>
  </si>
  <si>
    <t>50565</t>
  </si>
  <si>
    <t>245</t>
  </si>
  <si>
    <t>257</t>
  </si>
  <si>
    <t>966</t>
  </si>
  <si>
    <t>398</t>
  </si>
  <si>
    <t>3341</t>
  </si>
  <si>
    <t>2753</t>
  </si>
  <si>
    <t>287</t>
  </si>
  <si>
    <t>2946</t>
  </si>
  <si>
    <t>367</t>
  </si>
  <si>
    <t>29460</t>
  </si>
  <si>
    <t>28527</t>
  </si>
  <si>
    <t>60</t>
  </si>
  <si>
    <t>1171</t>
  </si>
  <si>
    <t>231</t>
  </si>
  <si>
    <t>22249</t>
  </si>
  <si>
    <t>21282</t>
  </si>
  <si>
    <t>4450</t>
  </si>
  <si>
    <t>983</t>
  </si>
  <si>
    <t>75650</t>
  </si>
  <si>
    <t>75008</t>
  </si>
  <si>
    <t>12</t>
  </si>
  <si>
    <t>4126</t>
  </si>
  <si>
    <t>426</t>
  </si>
  <si>
    <t>486</t>
  </si>
  <si>
    <t>78394</t>
  </si>
  <si>
    <t>77798</t>
  </si>
  <si>
    <t>2143</t>
  </si>
  <si>
    <t>40717</t>
  </si>
  <si>
    <t>40125</t>
  </si>
  <si>
    <t>248</t>
  </si>
  <si>
    <t>1000</t>
  </si>
  <si>
    <t>978</t>
  </si>
  <si>
    <t>162</t>
  </si>
  <si>
    <t>6000</t>
  </si>
  <si>
    <t>5221</t>
  </si>
  <si>
    <t>223</t>
  </si>
  <si>
    <t>827</t>
  </si>
  <si>
    <t>77</t>
  </si>
  <si>
    <t>402</t>
  </si>
  <si>
    <t>14886</t>
  </si>
  <si>
    <t>14129</t>
  </si>
  <si>
    <t>254</t>
  </si>
  <si>
    <t>212</t>
  </si>
  <si>
    <t>12564</t>
  </si>
  <si>
    <t>21</t>
  </si>
  <si>
    <t>4021</t>
  </si>
  <si>
    <t>794</t>
  </si>
  <si>
    <t>36189</t>
  </si>
  <si>
    <t>35505</t>
  </si>
  <si>
    <t>186</t>
  </si>
  <si>
    <t>25928</t>
  </si>
  <si>
    <t>25081</t>
  </si>
  <si>
    <t>1206</t>
  </si>
  <si>
    <t>238</t>
  </si>
  <si>
    <t>36</t>
  </si>
  <si>
    <t>9648</t>
  </si>
  <si>
    <t>9417</t>
  </si>
  <si>
    <t>237</t>
  </si>
  <si>
    <t>4321</t>
  </si>
  <si>
    <t>874</t>
  </si>
  <si>
    <t>172</t>
  </si>
  <si>
    <t>30247</t>
  </si>
  <si>
    <t>29254</t>
  </si>
  <si>
    <t>4680</t>
  </si>
  <si>
    <t>4322</t>
  </si>
  <si>
    <t>880</t>
  </si>
  <si>
    <t>345</t>
  </si>
  <si>
    <t>12320</t>
  </si>
  <si>
    <t>11978</t>
  </si>
  <si>
    <t>3575</t>
  </si>
  <si>
    <t>21450</t>
  </si>
  <si>
    <t>20785</t>
  </si>
  <si>
    <t>195</t>
  </si>
  <si>
    <t>571</t>
  </si>
  <si>
    <t>190</t>
  </si>
  <si>
    <t>352</t>
  </si>
  <si>
    <t>9707</t>
  </si>
  <si>
    <t>9418</t>
  </si>
  <si>
    <t>2076</t>
  </si>
  <si>
    <t>33216</t>
  </si>
  <si>
    <t>32244</t>
  </si>
  <si>
    <t>2878</t>
  </si>
  <si>
    <t>416</t>
  </si>
  <si>
    <t>43170</t>
  </si>
  <si>
    <t>42667</t>
  </si>
  <si>
    <t>75</t>
  </si>
  <si>
    <t>288</t>
  </si>
  <si>
    <t>19080</t>
  </si>
  <si>
    <t>18859</t>
  </si>
  <si>
    <t>1226</t>
  </si>
  <si>
    <t>14712</t>
  </si>
  <si>
    <t>14049</t>
  </si>
  <si>
    <t>4780</t>
  </si>
  <si>
    <t>691</t>
  </si>
  <si>
    <t>380</t>
  </si>
  <si>
    <t>86040</t>
  </si>
  <si>
    <t>85743</t>
  </si>
  <si>
    <t>262</t>
  </si>
  <si>
    <t>3138</t>
  </si>
  <si>
    <t>291</t>
  </si>
  <si>
    <t>28242</t>
  </si>
  <si>
    <t>27550</t>
  </si>
  <si>
    <t>784</t>
  </si>
  <si>
    <t>183</t>
  </si>
  <si>
    <t>1704</t>
  </si>
  <si>
    <t>995</t>
  </si>
  <si>
    <t>154</t>
  </si>
  <si>
    <t>438</t>
  </si>
  <si>
    <t>3066</t>
  </si>
  <si>
    <t>2701</t>
  </si>
  <si>
    <t>4725</t>
  </si>
  <si>
    <t>362</t>
  </si>
  <si>
    <t>75600</t>
  </si>
  <si>
    <t>74927</t>
  </si>
  <si>
    <t>1702</t>
  </si>
  <si>
    <t>750</t>
  </si>
  <si>
    <t>179</t>
  </si>
  <si>
    <t>34040</t>
  </si>
  <si>
    <t>33174</t>
  </si>
  <si>
    <t>4242</t>
  </si>
  <si>
    <t>555</t>
  </si>
  <si>
    <t>33936</t>
  </si>
  <si>
    <t>33802</t>
  </si>
  <si>
    <t>265</t>
  </si>
  <si>
    <t>1076</t>
  </si>
  <si>
    <t>313</t>
  </si>
  <si>
    <t>306</t>
  </si>
  <si>
    <t>11836</t>
  </si>
  <si>
    <t>11596</t>
  </si>
  <si>
    <t>1094</t>
  </si>
  <si>
    <t>472</t>
  </si>
  <si>
    <t>9846</t>
  </si>
  <si>
    <t>9609</t>
  </si>
  <si>
    <t>112</t>
  </si>
  <si>
    <t>914</t>
  </si>
  <si>
    <t>246</t>
  </si>
  <si>
    <t>11882</t>
  </si>
  <si>
    <t>11500</t>
  </si>
  <si>
    <t>1164</t>
  </si>
  <si>
    <t>616</t>
  </si>
  <si>
    <t>6984</t>
  </si>
  <si>
    <t>6636</t>
  </si>
  <si>
    <t>3796</t>
  </si>
  <si>
    <t>667</t>
  </si>
  <si>
    <t>395</t>
  </si>
  <si>
    <t>64532</t>
  </si>
  <si>
    <t>63550</t>
  </si>
  <si>
    <t>292</t>
  </si>
  <si>
    <t>2291</t>
  </si>
  <si>
    <t>485</t>
  </si>
  <si>
    <t>18328</t>
  </si>
  <si>
    <t>18101</t>
  </si>
  <si>
    <t>3663</t>
  </si>
  <si>
    <t>51282</t>
  </si>
  <si>
    <t>50567</t>
  </si>
  <si>
    <t>770</t>
  </si>
  <si>
    <t>1030</t>
  </si>
  <si>
    <t>410</t>
  </si>
  <si>
    <t>4133</t>
  </si>
  <si>
    <t>466</t>
  </si>
  <si>
    <t>327</t>
  </si>
  <si>
    <t>24798</t>
  </si>
  <si>
    <t>24620</t>
  </si>
  <si>
    <t>176</t>
  </si>
  <si>
    <t>802</t>
  </si>
  <si>
    <t>244</t>
  </si>
  <si>
    <t>14436</t>
  </si>
  <si>
    <t>14280</t>
  </si>
  <si>
    <t>3774</t>
  </si>
  <si>
    <t>60384</t>
  </si>
  <si>
    <t>59490</t>
  </si>
  <si>
    <t>2174</t>
  </si>
  <si>
    <t>13044</t>
  </si>
  <si>
    <t>12206</t>
  </si>
  <si>
    <t>4000</t>
  </si>
  <si>
    <t>689</t>
  </si>
  <si>
    <t>40000</t>
  </si>
  <si>
    <t>39569</t>
  </si>
  <si>
    <t>1048</t>
  </si>
  <si>
    <t>374</t>
  </si>
  <si>
    <t>450</t>
  </si>
  <si>
    <t>9432</t>
  </si>
  <si>
    <t>8882</t>
  </si>
  <si>
    <t>3073</t>
  </si>
  <si>
    <t>553</t>
  </si>
  <si>
    <t>52241</t>
  </si>
  <si>
    <t>51605</t>
  </si>
  <si>
    <t>42</t>
  </si>
  <si>
    <t>4482</t>
  </si>
  <si>
    <t>3647</t>
  </si>
  <si>
    <t>4363</t>
  </si>
  <si>
    <t>649</t>
  </si>
  <si>
    <t>140</t>
  </si>
  <si>
    <t>21815</t>
  </si>
  <si>
    <t>21481</t>
  </si>
  <si>
    <t>157</t>
  </si>
  <si>
    <t>2634</t>
  </si>
  <si>
    <t>726</t>
  </si>
  <si>
    <t>28974</t>
  </si>
  <si>
    <t>28102</t>
  </si>
  <si>
    <t>2692</t>
  </si>
  <si>
    <t>21536</t>
  </si>
  <si>
    <t>21120</t>
  </si>
  <si>
    <t>4739</t>
  </si>
  <si>
    <t>527</t>
  </si>
  <si>
    <t>61607</t>
  </si>
  <si>
    <t>61333</t>
  </si>
  <si>
    <t>3929</t>
  </si>
  <si>
    <t>278</t>
  </si>
  <si>
    <t>43219</t>
  </si>
  <si>
    <t>42841</t>
  </si>
  <si>
    <t>2103</t>
  </si>
  <si>
    <t>892</t>
  </si>
  <si>
    <t>39957</t>
  </si>
  <si>
    <t>39466</t>
  </si>
  <si>
    <t>28</t>
  </si>
  <si>
    <t>2200</t>
  </si>
  <si>
    <t>504</t>
  </si>
  <si>
    <t>37400</t>
  </si>
  <si>
    <t>36938</t>
  </si>
  <si>
    <t>602</t>
  </si>
  <si>
    <t>594</t>
  </si>
  <si>
    <t>4214</t>
  </si>
  <si>
    <t>3363</t>
  </si>
  <si>
    <t>164</t>
  </si>
  <si>
    <t>4579</t>
  </si>
  <si>
    <t>59527</t>
  </si>
  <si>
    <t>59400</t>
  </si>
  <si>
    <t>269</t>
  </si>
  <si>
    <t>1686</t>
  </si>
  <si>
    <t>18546</t>
  </si>
  <si>
    <t>18171</t>
  </si>
  <si>
    <t>52</t>
  </si>
  <si>
    <t>3338</t>
  </si>
  <si>
    <t>60084</t>
  </si>
  <si>
    <t>59842</t>
  </si>
  <si>
    <t>252</t>
  </si>
  <si>
    <t>2418</t>
  </si>
  <si>
    <t>754</t>
  </si>
  <si>
    <t>54</t>
  </si>
  <si>
    <t>43524</t>
  </si>
  <si>
    <t>42743</t>
  </si>
  <si>
    <t>3641</t>
  </si>
  <si>
    <t>226</t>
  </si>
  <si>
    <t>46</t>
  </si>
  <si>
    <t>40051</t>
  </si>
  <si>
    <t>39319</t>
  </si>
  <si>
    <t>296</t>
  </si>
  <si>
    <t>2404</t>
  </si>
  <si>
    <t>363</t>
  </si>
  <si>
    <t>138</t>
  </si>
  <si>
    <t>19232</t>
  </si>
  <si>
    <t>18636</t>
  </si>
  <si>
    <t>1878</t>
  </si>
  <si>
    <t>62</t>
  </si>
  <si>
    <t>37560</t>
  </si>
  <si>
    <t>36874</t>
  </si>
  <si>
    <t>149</t>
  </si>
  <si>
    <t>4674</t>
  </si>
  <si>
    <t>4390</t>
  </si>
  <si>
    <t>2795</t>
  </si>
  <si>
    <t>105</t>
  </si>
  <si>
    <t>53105</t>
  </si>
  <si>
    <t>52307</t>
  </si>
  <si>
    <t>4332</t>
  </si>
  <si>
    <t>771</t>
  </si>
  <si>
    <t>219</t>
  </si>
  <si>
    <t>60648</t>
  </si>
  <si>
    <t>60397</t>
  </si>
  <si>
    <t>4134</t>
  </si>
  <si>
    <t>824</t>
  </si>
  <si>
    <t>41340</t>
  </si>
  <si>
    <t>41050</t>
  </si>
  <si>
    <t>1431</t>
  </si>
  <si>
    <t>951</t>
  </si>
  <si>
    <t>26</t>
  </si>
  <si>
    <t>8586</t>
  </si>
  <si>
    <t>8396</t>
  </si>
  <si>
    <t>3239</t>
  </si>
  <si>
    <t>22673</t>
  </si>
  <si>
    <t>22171</t>
  </si>
  <si>
    <t>6400</t>
  </si>
  <si>
    <t>5472</t>
  </si>
  <si>
    <t>160</t>
  </si>
  <si>
    <t>4858</t>
  </si>
  <si>
    <t>317</t>
  </si>
  <si>
    <t>53438</t>
  </si>
  <si>
    <t>52687</t>
  </si>
  <si>
    <t>1762</t>
  </si>
  <si>
    <t>405</t>
  </si>
  <si>
    <t>423</t>
  </si>
  <si>
    <t>22906</t>
  </si>
  <si>
    <t>21925</t>
  </si>
  <si>
    <t>25</t>
  </si>
  <si>
    <t>3134</t>
  </si>
  <si>
    <t>888</t>
  </si>
  <si>
    <t>444</t>
  </si>
  <si>
    <t>21938</t>
  </si>
  <si>
    <t>21337</t>
  </si>
  <si>
    <t>1869</t>
  </si>
  <si>
    <t>453</t>
  </si>
  <si>
    <t>490</t>
  </si>
  <si>
    <t>14952</t>
  </si>
  <si>
    <t>14309</t>
  </si>
  <si>
    <t>3689</t>
  </si>
  <si>
    <t>48</t>
  </si>
  <si>
    <t>40579</t>
  </si>
  <si>
    <t>39588</t>
  </si>
  <si>
    <t>2493</t>
  </si>
  <si>
    <t>97</t>
  </si>
  <si>
    <t>42381</t>
  </si>
  <si>
    <t>41991</t>
  </si>
  <si>
    <t>4241</t>
  </si>
  <si>
    <t>902</t>
  </si>
  <si>
    <t>72097</t>
  </si>
  <si>
    <t>71598</t>
  </si>
  <si>
    <t>1950</t>
  </si>
  <si>
    <t>478</t>
  </si>
  <si>
    <t>37050</t>
  </si>
  <si>
    <t>36272</t>
  </si>
  <si>
    <t>3440</t>
  </si>
  <si>
    <t>58480</t>
  </si>
  <si>
    <t>58146</t>
  </si>
  <si>
    <t>4523</t>
  </si>
  <si>
    <t>61</t>
  </si>
  <si>
    <t>49753</t>
  </si>
  <si>
    <t>49329</t>
  </si>
  <si>
    <t>71</t>
  </si>
  <si>
    <t>1238</t>
  </si>
  <si>
    <t>19808</t>
  </si>
  <si>
    <t>19334</t>
  </si>
  <si>
    <t>3099</t>
  </si>
  <si>
    <t>694</t>
  </si>
  <si>
    <t>43386</t>
  </si>
  <si>
    <t>42921</t>
  </si>
  <si>
    <t>2164</t>
  </si>
  <si>
    <t>549</t>
  </si>
  <si>
    <t>28132</t>
  </si>
  <si>
    <t>27361</t>
  </si>
  <si>
    <t>1575</t>
  </si>
  <si>
    <t>25200</t>
  </si>
  <si>
    <t>24826</t>
  </si>
  <si>
    <t>3128</t>
  </si>
  <si>
    <t>197</t>
  </si>
  <si>
    <t>59432</t>
  </si>
  <si>
    <t>59182</t>
  </si>
  <si>
    <t>1766</t>
  </si>
  <si>
    <t>24724</t>
  </si>
  <si>
    <t>24333</t>
  </si>
  <si>
    <t>562</t>
  </si>
  <si>
    <t>3372</t>
  </si>
  <si>
    <t>2940</t>
  </si>
  <si>
    <t>2214</t>
  </si>
  <si>
    <t>152</t>
  </si>
  <si>
    <t>15498</t>
  </si>
  <si>
    <t>14800</t>
  </si>
  <si>
    <t>180</t>
  </si>
  <si>
    <t>3092</t>
  </si>
  <si>
    <t>106</t>
  </si>
  <si>
    <t>27828</t>
  </si>
  <si>
    <t>27217</t>
  </si>
  <si>
    <t>1841</t>
  </si>
  <si>
    <t>851</t>
  </si>
  <si>
    <t>342</t>
  </si>
  <si>
    <t>34979</t>
  </si>
  <si>
    <t>34154</t>
  </si>
  <si>
    <t>255</t>
  </si>
  <si>
    <t>3068</t>
  </si>
  <si>
    <t>329</t>
  </si>
  <si>
    <t>39884</t>
  </si>
  <si>
    <t>39404</t>
  </si>
  <si>
    <t>985</t>
  </si>
  <si>
    <t>932</t>
  </si>
  <si>
    <t>6895</t>
  </si>
  <si>
    <t>6757</t>
  </si>
  <si>
    <t>4054</t>
  </si>
  <si>
    <t>373</t>
  </si>
  <si>
    <t>77026</t>
  </si>
  <si>
    <t>76881</t>
  </si>
  <si>
    <t>3367</t>
  </si>
  <si>
    <t>302</t>
  </si>
  <si>
    <t>63973</t>
  </si>
  <si>
    <t>63789</t>
  </si>
  <si>
    <t>2610</t>
  </si>
  <si>
    <t>126</t>
  </si>
  <si>
    <t>15660</t>
  </si>
  <si>
    <t>15145</t>
  </si>
  <si>
    <t>73</t>
  </si>
  <si>
    <t>3182</t>
  </si>
  <si>
    <t>559</t>
  </si>
  <si>
    <t>57276</t>
  </si>
  <si>
    <t>56890</t>
  </si>
  <si>
    <t>1814</t>
  </si>
  <si>
    <t>653</t>
  </si>
  <si>
    <t>25396</t>
  </si>
  <si>
    <t>25286</t>
  </si>
  <si>
    <t>3811</t>
  </si>
  <si>
    <t>866</t>
  </si>
  <si>
    <t>216</t>
  </si>
  <si>
    <t>34299</t>
  </si>
  <si>
    <t>34088</t>
  </si>
  <si>
    <t>233</t>
  </si>
  <si>
    <t>3649</t>
  </si>
  <si>
    <t>413</t>
  </si>
  <si>
    <t>25543</t>
  </si>
  <si>
    <t>24963</t>
  </si>
  <si>
    <t>4501</t>
  </si>
  <si>
    <t>375</t>
  </si>
  <si>
    <t>323</t>
  </si>
  <si>
    <t>22505</t>
  </si>
  <si>
    <t>21836</t>
  </si>
  <si>
    <t>132</t>
  </si>
  <si>
    <t>1292</t>
  </si>
  <si>
    <t>626</t>
  </si>
  <si>
    <t>496</t>
  </si>
  <si>
    <t>25840</t>
  </si>
  <si>
    <t>24916</t>
  </si>
  <si>
    <t>2382</t>
  </si>
  <si>
    <t>38112</t>
  </si>
  <si>
    <t>37437</t>
  </si>
  <si>
    <t>456</t>
  </si>
  <si>
    <t>8208</t>
  </si>
  <si>
    <t>7377</t>
  </si>
  <si>
    <t>2647</t>
  </si>
  <si>
    <t>304</t>
  </si>
  <si>
    <t>18529</t>
  </si>
  <si>
    <t>17841</t>
  </si>
  <si>
    <t>1121</t>
  </si>
  <si>
    <t>18</t>
  </si>
  <si>
    <t>15694</t>
  </si>
  <si>
    <t>14957</t>
  </si>
  <si>
    <t>643</t>
  </si>
  <si>
    <t>136</t>
  </si>
  <si>
    <t>1290</t>
  </si>
  <si>
    <t>839</t>
  </si>
  <si>
    <t>1741</t>
  </si>
  <si>
    <t>318</t>
  </si>
  <si>
    <t>8705</t>
  </si>
  <si>
    <t>8272</t>
  </si>
  <si>
    <t>5738</t>
  </si>
  <si>
    <t>4890</t>
  </si>
  <si>
    <t>4767</t>
  </si>
  <si>
    <t>28602</t>
  </si>
  <si>
    <t>28044</t>
  </si>
  <si>
    <t>1556</t>
  </si>
  <si>
    <t>9336</t>
  </si>
  <si>
    <t>8875</t>
  </si>
  <si>
    <t>3718</t>
  </si>
  <si>
    <t>310</t>
  </si>
  <si>
    <t>70642</t>
  </si>
  <si>
    <t>69749</t>
  </si>
  <si>
    <t>4750</t>
  </si>
  <si>
    <t>151</t>
  </si>
  <si>
    <t>415</t>
  </si>
  <si>
    <t>38000</t>
  </si>
  <si>
    <t>37792</t>
  </si>
  <si>
    <t>1970</t>
  </si>
  <si>
    <t>675</t>
  </si>
  <si>
    <t>9850</t>
  </si>
  <si>
    <t>8924</t>
  </si>
  <si>
    <t>4663</t>
  </si>
  <si>
    <t>69945</t>
  </si>
  <si>
    <t>69596</t>
  </si>
  <si>
    <t>35</t>
  </si>
  <si>
    <t>1606</t>
  </si>
  <si>
    <t>547</t>
  </si>
  <si>
    <t>316</t>
  </si>
  <si>
    <t>32120</t>
  </si>
  <si>
    <t>31736</t>
  </si>
  <si>
    <t>1436</t>
  </si>
  <si>
    <t>765</t>
  </si>
  <si>
    <t>12924</t>
  </si>
  <si>
    <t>12701</t>
  </si>
  <si>
    <t>2728</t>
  </si>
  <si>
    <t>533</t>
  </si>
  <si>
    <t>40920</t>
  </si>
  <si>
    <t>40816</t>
  </si>
  <si>
    <t>1952</t>
  </si>
  <si>
    <t>15616</t>
  </si>
  <si>
    <t>15403</t>
  </si>
  <si>
    <t>4872</t>
  </si>
  <si>
    <t>925</t>
  </si>
  <si>
    <t>82824</t>
  </si>
  <si>
    <t>82543</t>
  </si>
  <si>
    <t>4236</t>
  </si>
  <si>
    <t>711</t>
  </si>
  <si>
    <t>298</t>
  </si>
  <si>
    <t>21180</t>
  </si>
  <si>
    <t>20516</t>
  </si>
  <si>
    <t>3090</t>
  </si>
  <si>
    <t>49440</t>
  </si>
  <si>
    <t>48524</t>
  </si>
  <si>
    <t>736</t>
  </si>
  <si>
    <t>5152</t>
  </si>
  <si>
    <t>4706</t>
  </si>
  <si>
    <t>3592</t>
  </si>
  <si>
    <t>911</t>
  </si>
  <si>
    <t>50288</t>
  </si>
  <si>
    <t>49490</t>
  </si>
  <si>
    <t>2072</t>
  </si>
  <si>
    <t>532</t>
  </si>
  <si>
    <t>37296</t>
  </si>
  <si>
    <t>36467</t>
  </si>
  <si>
    <t>350</t>
  </si>
  <si>
    <t>24192</t>
  </si>
  <si>
    <t>23518</t>
  </si>
  <si>
    <t>1330</t>
  </si>
  <si>
    <t>15960</t>
  </si>
  <si>
    <t>15379</t>
  </si>
  <si>
    <t>4561</t>
  </si>
  <si>
    <t>441</t>
  </si>
  <si>
    <t>22805</t>
  </si>
  <si>
    <t>21890</t>
  </si>
  <si>
    <t>1957</t>
  </si>
  <si>
    <t>877</t>
  </si>
  <si>
    <t>17613</t>
  </si>
  <si>
    <t>16865</t>
  </si>
  <si>
    <t>4886</t>
  </si>
  <si>
    <t>409</t>
  </si>
  <si>
    <t>43974</t>
  </si>
  <si>
    <t>43239</t>
  </si>
  <si>
    <t>65</t>
  </si>
  <si>
    <t>3601</t>
  </si>
  <si>
    <t>695</t>
  </si>
  <si>
    <t>21606</t>
  </si>
  <si>
    <t>21454</t>
  </si>
  <si>
    <t>831</t>
  </si>
  <si>
    <t>17410</t>
  </si>
  <si>
    <t>16844</t>
  </si>
  <si>
    <t>58</t>
  </si>
  <si>
    <t>3065</t>
  </si>
  <si>
    <t>772</t>
  </si>
  <si>
    <t>18390</t>
  </si>
  <si>
    <t>17875</t>
  </si>
  <si>
    <t>4441</t>
  </si>
  <si>
    <t>511</t>
  </si>
  <si>
    <t>53292</t>
  </si>
  <si>
    <t>53082</t>
  </si>
  <si>
    <t>159</t>
  </si>
  <si>
    <t>3009</t>
  </si>
  <si>
    <t>358</t>
  </si>
  <si>
    <t>42126</t>
  </si>
  <si>
    <t>41309</t>
  </si>
  <si>
    <t>1543</t>
  </si>
  <si>
    <t>820</t>
  </si>
  <si>
    <t>333</t>
  </si>
  <si>
    <t>12344</t>
  </si>
  <si>
    <t>11496</t>
  </si>
  <si>
    <t>4551</t>
  </si>
  <si>
    <t>714</t>
  </si>
  <si>
    <t>207</t>
  </si>
  <si>
    <t>68265</t>
  </si>
  <si>
    <t>67754</t>
  </si>
  <si>
    <t>20878</t>
  </si>
  <si>
    <t>20190</t>
  </si>
  <si>
    <t>4187</t>
  </si>
  <si>
    <t>66992</t>
  </si>
  <si>
    <t>66614</t>
  </si>
  <si>
    <t>1963</t>
  </si>
  <si>
    <t>39260</t>
  </si>
  <si>
    <t>38771</t>
  </si>
  <si>
    <t>1947</t>
  </si>
  <si>
    <t>842</t>
  </si>
  <si>
    <t>101</t>
  </si>
  <si>
    <t>21417</t>
  </si>
  <si>
    <t>20967</t>
  </si>
  <si>
    <t>624</t>
  </si>
  <si>
    <t>6912</t>
  </si>
  <si>
    <t>6259</t>
  </si>
  <si>
    <t>79</t>
  </si>
  <si>
    <t>1249</t>
  </si>
  <si>
    <t>116</t>
  </si>
  <si>
    <t>8743</t>
  </si>
  <si>
    <t>8538</t>
  </si>
  <si>
    <t>4619</t>
  </si>
  <si>
    <t>821</t>
  </si>
  <si>
    <t>499</t>
  </si>
  <si>
    <t>69285</t>
  </si>
  <si>
    <t>69141</t>
  </si>
  <si>
    <t>4838</t>
  </si>
  <si>
    <t>72570</t>
  </si>
  <si>
    <t>72396</t>
  </si>
  <si>
    <t>83</t>
  </si>
  <si>
    <t>3809</t>
  </si>
  <si>
    <t>273</t>
  </si>
  <si>
    <t>34281</t>
  </si>
  <si>
    <t>33534</t>
  </si>
  <si>
    <t>4285</t>
  </si>
  <si>
    <t>886</t>
  </si>
  <si>
    <t>55705</t>
  </si>
  <si>
    <t>55556</t>
  </si>
  <si>
    <t>3711</t>
  </si>
  <si>
    <t>48243</t>
  </si>
  <si>
    <t>47579</t>
  </si>
  <si>
    <t>4606</t>
  </si>
  <si>
    <t>931</t>
  </si>
  <si>
    <t>92120</t>
  </si>
  <si>
    <t>91440</t>
  </si>
  <si>
    <t>1488</t>
  </si>
  <si>
    <t>417</t>
  </si>
  <si>
    <t>168</t>
  </si>
  <si>
    <t>19344</t>
  </si>
  <si>
    <t>18395</t>
  </si>
  <si>
    <t>30</t>
  </si>
  <si>
    <t>3791</t>
  </si>
  <si>
    <t>593</t>
  </si>
  <si>
    <t>53074</t>
  </si>
  <si>
    <t>52613</t>
  </si>
  <si>
    <t>4799</t>
  </si>
  <si>
    <t>43191</t>
  </si>
  <si>
    <t>42228</t>
  </si>
  <si>
    <t>2754</t>
  </si>
  <si>
    <t>21288</t>
  </si>
  <si>
    <t>3861</t>
  </si>
  <si>
    <t>69498</t>
  </si>
  <si>
    <t>68817</t>
  </si>
  <si>
    <t>389</t>
  </si>
  <si>
    <t>64864</t>
  </si>
  <si>
    <t>64383</t>
  </si>
  <si>
    <t>3767</t>
  </si>
  <si>
    <t>514</t>
  </si>
  <si>
    <t>37670</t>
  </si>
  <si>
    <t>36807</t>
  </si>
  <si>
    <t>3874</t>
  </si>
  <si>
    <t>884</t>
  </si>
  <si>
    <t>38740</t>
  </si>
  <si>
    <t>38552</t>
  </si>
  <si>
    <t>141</t>
  </si>
  <si>
    <t>5624</t>
  </si>
  <si>
    <t>5239</t>
  </si>
  <si>
    <t>947</t>
  </si>
  <si>
    <t>338</t>
  </si>
  <si>
    <t>10417</t>
  </si>
  <si>
    <t>9730</t>
  </si>
  <si>
    <t>34</t>
  </si>
  <si>
    <t>3432</t>
  </si>
  <si>
    <t>869</t>
  </si>
  <si>
    <t>54912</t>
  </si>
  <si>
    <t>53916</t>
  </si>
  <si>
    <t>80</t>
  </si>
  <si>
    <t>1040</t>
  </si>
  <si>
    <t>4419</t>
  </si>
  <si>
    <t>369</t>
  </si>
  <si>
    <t>44190</t>
  </si>
  <si>
    <t>43582</t>
  </si>
  <si>
    <t>4350</t>
  </si>
  <si>
    <t>60900</t>
  </si>
  <si>
    <t>60592</t>
  </si>
  <si>
    <t>4905</t>
  </si>
  <si>
    <t>845</t>
  </si>
  <si>
    <t>98100</t>
  </si>
  <si>
    <t>97772</t>
  </si>
  <si>
    <t>2551</t>
  </si>
  <si>
    <t>915</t>
  </si>
  <si>
    <t>30612</t>
  </si>
  <si>
    <t>30360</t>
  </si>
  <si>
    <t>227</t>
  </si>
  <si>
    <t>4171</t>
  </si>
  <si>
    <t>548</t>
  </si>
  <si>
    <t>86</t>
  </si>
  <si>
    <t>66736</t>
  </si>
  <si>
    <t>66634</t>
  </si>
  <si>
    <t>1871</t>
  </si>
  <si>
    <t>335</t>
  </si>
  <si>
    <t>29936</t>
  </si>
  <si>
    <t>29576</t>
  </si>
  <si>
    <t>897</t>
  </si>
  <si>
    <t>588</t>
  </si>
  <si>
    <t>1108</t>
  </si>
  <si>
    <t>8864</t>
  </si>
  <si>
    <t>8710</t>
  </si>
  <si>
    <t>3582</t>
  </si>
  <si>
    <t>2988</t>
  </si>
  <si>
    <t>2358</t>
  </si>
  <si>
    <t>35370</t>
  </si>
  <si>
    <t>34475</t>
  </si>
  <si>
    <t>4430</t>
  </si>
  <si>
    <t>4037</t>
  </si>
  <si>
    <t>1792</t>
  </si>
  <si>
    <t>614</t>
  </si>
  <si>
    <t>497</t>
  </si>
  <si>
    <t>25088</t>
  </si>
  <si>
    <t>24675</t>
  </si>
  <si>
    <t>3371</t>
  </si>
  <si>
    <t>49816</t>
  </si>
  <si>
    <t>1674</t>
  </si>
  <si>
    <t>21762</t>
  </si>
  <si>
    <t>20998</t>
  </si>
  <si>
    <t>4808</t>
  </si>
  <si>
    <t>320</t>
  </si>
  <si>
    <t>72120</t>
  </si>
  <si>
    <t>71696</t>
  </si>
  <si>
    <t>1272</t>
  </si>
  <si>
    <t>465</t>
  </si>
  <si>
    <t>24168</t>
  </si>
  <si>
    <t>23719</t>
  </si>
  <si>
    <t>1430</t>
  </si>
  <si>
    <t>20509</t>
  </si>
  <si>
    <t>2696</t>
  </si>
  <si>
    <t>628</t>
  </si>
  <si>
    <t>443</t>
  </si>
  <si>
    <t>45832</t>
  </si>
  <si>
    <t>45632</t>
  </si>
  <si>
    <t>3430</t>
  </si>
  <si>
    <t>566</t>
  </si>
  <si>
    <t>48020</t>
  </si>
  <si>
    <t>47305</t>
  </si>
  <si>
    <t>120</t>
  </si>
  <si>
    <t>6786</t>
  </si>
  <si>
    <t>6221</t>
  </si>
  <si>
    <t>2234</t>
  </si>
  <si>
    <t>11170</t>
  </si>
  <si>
    <t>10569</t>
  </si>
  <si>
    <t>198</t>
  </si>
  <si>
    <t>3535</t>
  </si>
  <si>
    <t>494</t>
  </si>
  <si>
    <t>53025</t>
  </si>
  <si>
    <t>52791</t>
  </si>
  <si>
    <t>Total Like,shares and comments by content type and platform</t>
  </si>
  <si>
    <t>Task 2.4</t>
  </si>
  <si>
    <t>Top Performing Hashtags</t>
  </si>
  <si>
    <t>Most Frequent used Tesla Hashtag</t>
  </si>
  <si>
    <t>Count of Hashtags Used</t>
  </si>
  <si>
    <t>Task 4.2</t>
  </si>
  <si>
    <t>Hashtag Used</t>
  </si>
  <si>
    <t>Task 4.3</t>
  </si>
  <si>
    <t>Task 4.4</t>
  </si>
  <si>
    <t>Max</t>
  </si>
  <si>
    <t>Task 5.2</t>
  </si>
  <si>
    <t>Hashtag.1</t>
  </si>
  <si>
    <t>Hashtag.2</t>
  </si>
  <si>
    <t>Hashtag.3</t>
  </si>
  <si>
    <t>Average Growth Rate</t>
  </si>
  <si>
    <t>Twitter performs exceptionally well for sharing new product updates — it drives quick interactions and has strong viral potential. YouTube is ideal for showcasing detailed product demonstrations, maintaining high viewer engagement throughout. Instagram and Facebook, on the other hand, work best for promoting lifestyle and brand identity rather than direct product launches. In terms of efficiency, Twitter and YouTube deliver the highest returns when it comes to engagement rates and audience growth. Recommendation: Prioritize marketing efforts on Twitter and YouTube, while keeping Instagram and Facebook active to support consistent brand visibility.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</si>
</sst>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sz val="8"/>
      <color rgb="FF1F1F1F"/>
      <name val="Arial"/>
      <family val="2"/>
    </font>
  </fonts>
  <fills count="7">
    <fill>
      <patternFill patternType="none"/>
    </fill>
    <fill>
      <patternFill patternType="gray125"/>
    </fill>
    <fill>
      <patternFill patternType="solid">
        <fgColor theme="4" tint="0.59999389629810485"/>
        <bgColor indexed="64"/>
      </patternFill>
    </fill>
    <fill>
      <patternFill patternType="solid">
        <fgColor theme="4" tint="0.79998168889431442"/>
        <bgColor theme="4" tint="0.79998168889431442"/>
      </patternFill>
    </fill>
    <fill>
      <patternFill patternType="solid">
        <fgColor theme="4" tint="0.39997558519241921"/>
        <bgColor indexed="64"/>
      </patternFill>
    </fill>
    <fill>
      <patternFill patternType="solid">
        <fgColor rgb="FFFFFF00"/>
        <bgColor indexed="64"/>
      </patternFill>
    </fill>
    <fill>
      <patternFill patternType="solid">
        <fgColor theme="4" tint="0.79998168889431442"/>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right/>
      <top/>
      <bottom style="thin">
        <color theme="4" tint="0.39997558519241921"/>
      </bottom>
      <diagonal/>
    </border>
    <border>
      <left style="thin">
        <color indexed="64"/>
      </left>
      <right style="thin">
        <color indexed="64"/>
      </right>
      <top/>
      <bottom/>
      <diagonal/>
    </border>
    <border>
      <left/>
      <right style="thin">
        <color indexed="64"/>
      </right>
      <top style="thin">
        <color indexed="64"/>
      </top>
      <bottom style="thin">
        <color indexed="64"/>
      </bottom>
      <diagonal/>
    </border>
  </borders>
  <cellStyleXfs count="1">
    <xf numFmtId="0" fontId="0" fillId="0" borderId="0"/>
  </cellStyleXfs>
  <cellXfs count="33">
    <xf numFmtId="0" fontId="0" fillId="0" borderId="0" xfId="0"/>
    <xf numFmtId="0" fontId="1" fillId="2" borderId="0" xfId="0" applyFont="1" applyFill="1"/>
    <xf numFmtId="0" fontId="1" fillId="2" borderId="1" xfId="0" applyFont="1" applyFill="1" applyBorder="1"/>
    <xf numFmtId="0" fontId="0" fillId="0" borderId="1" xfId="0" applyBorder="1"/>
    <xf numFmtId="0" fontId="1" fillId="0" borderId="0" xfId="0" applyFont="1"/>
    <xf numFmtId="0" fontId="0" fillId="0" borderId="0" xfId="0" pivotButton="1"/>
    <xf numFmtId="0" fontId="0" fillId="0" borderId="0" xfId="0" applyAlignment="1">
      <alignment horizontal="left"/>
    </xf>
    <xf numFmtId="0" fontId="0" fillId="0" borderId="0" xfId="0" applyAlignment="1">
      <alignment horizontal="left" indent="1"/>
    </xf>
    <xf numFmtId="0" fontId="1" fillId="3" borderId="2" xfId="0" applyFont="1" applyFill="1" applyBorder="1"/>
    <xf numFmtId="15" fontId="0" fillId="0" borderId="0" xfId="0" applyNumberFormat="1"/>
    <xf numFmtId="0" fontId="1" fillId="2" borderId="4" xfId="0" applyFont="1" applyFill="1" applyBorder="1"/>
    <xf numFmtId="0" fontId="0" fillId="0" borderId="4" xfId="0" applyBorder="1"/>
    <xf numFmtId="0" fontId="1" fillId="4" borderId="0" xfId="0" applyFont="1" applyFill="1"/>
    <xf numFmtId="10" fontId="0" fillId="0" borderId="0" xfId="0" applyNumberFormat="1"/>
    <xf numFmtId="0" fontId="1" fillId="3" borderId="1" xfId="0" applyFont="1" applyFill="1" applyBorder="1"/>
    <xf numFmtId="0" fontId="0" fillId="0" borderId="1" xfId="0" pivotButton="1" applyBorder="1"/>
    <xf numFmtId="0" fontId="0" fillId="0" borderId="1" xfId="0" applyBorder="1" applyAlignment="1">
      <alignment horizontal="left"/>
    </xf>
    <xf numFmtId="0" fontId="0" fillId="4" borderId="1" xfId="0" applyFill="1" applyBorder="1"/>
    <xf numFmtId="10" fontId="0" fillId="4" borderId="3" xfId="0" applyNumberFormat="1" applyFill="1" applyBorder="1"/>
    <xf numFmtId="0" fontId="1" fillId="5" borderId="0" xfId="0" applyFont="1" applyFill="1"/>
    <xf numFmtId="0" fontId="1" fillId="6" borderId="1" xfId="0" applyFont="1" applyFill="1" applyBorder="1"/>
    <xf numFmtId="0" fontId="1" fillId="0" borderId="1" xfId="0" applyFont="1" applyBorder="1"/>
    <xf numFmtId="0" fontId="0" fillId="5" borderId="1" xfId="0" applyFill="1" applyBorder="1"/>
    <xf numFmtId="0" fontId="0" fillId="5" borderId="4" xfId="0" applyFill="1" applyBorder="1"/>
    <xf numFmtId="14" fontId="0" fillId="0" borderId="0" xfId="0" applyNumberFormat="1"/>
    <xf numFmtId="22" fontId="0" fillId="0" borderId="0" xfId="0" applyNumberFormat="1"/>
    <xf numFmtId="0" fontId="0" fillId="0" borderId="1" xfId="0" applyBorder="1" applyAlignment="1">
      <alignment horizontal="center" vertical="center"/>
    </xf>
    <xf numFmtId="0" fontId="1" fillId="0" borderId="1" xfId="0" applyFont="1" applyBorder="1" applyAlignment="1">
      <alignment horizontal="center" vertical="center"/>
    </xf>
    <xf numFmtId="0" fontId="1" fillId="6" borderId="1" xfId="0" applyFont="1" applyFill="1" applyBorder="1" applyAlignment="1">
      <alignment horizontal="center"/>
    </xf>
    <xf numFmtId="0" fontId="2" fillId="0" borderId="0" xfId="0" applyFont="1"/>
    <xf numFmtId="0" fontId="1" fillId="6" borderId="1" xfId="0" applyFont="1" applyFill="1" applyBorder="1" applyAlignment="1">
      <alignment horizontal="center"/>
    </xf>
    <xf numFmtId="0" fontId="1" fillId="6" borderId="1" xfId="0" applyFont="1" applyFill="1" applyBorder="1" applyAlignment="1">
      <alignment horizontal="center" vertical="center"/>
    </xf>
    <xf numFmtId="0" fontId="0" fillId="0" borderId="0" xfId="0" applyAlignment="1">
      <alignment horizontal="center" vertical="center"/>
    </xf>
  </cellXfs>
  <cellStyles count="1">
    <cellStyle name="Normal" xfId="0" builtinId="0"/>
  </cellStyles>
  <dxfs count="15">
    <dxf>
      <font>
        <b val="0"/>
        <i val="0"/>
        <color rgb="FF9C5700"/>
      </font>
      <fill>
        <patternFill>
          <bgColor rgb="FFFFFF00"/>
        </patternFill>
      </fill>
    </dxf>
    <dxf>
      <font>
        <color rgb="FF9C5700"/>
      </font>
      <fill>
        <patternFill>
          <bgColor rgb="FFFFEB9C"/>
        </patternFill>
      </fill>
    </dxf>
    <dxf>
      <font>
        <color rgb="FF9C5700"/>
      </font>
      <fill>
        <patternFill>
          <bgColor rgb="FFFFEB9C"/>
        </patternFill>
      </fill>
    </dxf>
    <dxf>
      <font>
        <color rgb="FF9C0006"/>
      </font>
      <fill>
        <patternFill>
          <bgColor rgb="FFFFFF00"/>
        </patternFill>
      </fill>
    </dxf>
    <dxf>
      <font>
        <color rgb="FF9C5700"/>
      </font>
      <fill>
        <patternFill>
          <bgColor rgb="FFFFEB9C"/>
        </patternFill>
      </fill>
    </dxf>
    <dxf>
      <border>
        <left style="thin">
          <color indexed="64"/>
        </left>
        <vertical style="thin">
          <color indexed="64"/>
        </vertical>
      </border>
    </dxf>
    <dxf>
      <border>
        <left style="thin">
          <color indexed="64"/>
        </left>
        <vertical style="thin">
          <color indexed="64"/>
        </vertic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4" formatCode="0.00%"/>
    </dxf>
    <dxf>
      <numFmt numFmtId="0" formatCode="General"/>
    </dxf>
    <dxf>
      <numFmt numFmtId="27" formatCode="dd/mm/yyyy\ hh:mm"/>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5.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pivotCacheDefinition" Target="pivotCache/pivotCacheDefinition4.xml"/><Relationship Id="rId17" Type="http://schemas.openxmlformats.org/officeDocument/2006/relationships/pivotCacheDefinition" Target="pivotCache/pivotCacheDefinition9.xml"/><Relationship Id="rId2" Type="http://schemas.openxmlformats.org/officeDocument/2006/relationships/worksheet" Target="worksheets/sheet2.xml"/><Relationship Id="rId16" Type="http://schemas.openxmlformats.org/officeDocument/2006/relationships/pivotCacheDefinition" Target="pivotCache/pivotCacheDefinition8.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3.xml"/><Relationship Id="rId5" Type="http://schemas.openxmlformats.org/officeDocument/2006/relationships/worksheet" Target="worksheets/sheet5.xml"/><Relationship Id="rId15" Type="http://schemas.openxmlformats.org/officeDocument/2006/relationships/pivotCacheDefinition" Target="pivotCache/pivotCacheDefinition7.xml"/><Relationship Id="rId23" Type="http://schemas.openxmlformats.org/officeDocument/2006/relationships/customXml" Target="../customXml/item1.xml"/><Relationship Id="rId10" Type="http://schemas.openxmlformats.org/officeDocument/2006/relationships/pivotCacheDefinition" Target="pivotCache/pivotCacheDefinition2.xml"/><Relationship Id="rId19"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pivotCacheDefinition" Target="pivotCache/pivotCacheDefinition6.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Engagement Vs Ad Spend</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lineChart>
        <c:grouping val="stacked"/>
        <c:varyColors val="0"/>
        <c:ser>
          <c:idx val="0"/>
          <c:order val="0"/>
          <c:tx>
            <c:strRef>
              <c:f>'Task 3'!$Z$18</c:f>
              <c:strCache>
                <c:ptCount val="1"/>
                <c:pt idx="0">
                  <c:v>Average of Ad_Spend</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'Task 3'!$X$19:$X$23</c:f>
              <c:strCache>
                <c:ptCount val="5"/>
                <c:pt idx="0">
                  <c:v>Facebook</c:v>
                </c:pt>
                <c:pt idx="1">
                  <c:v>Instagram</c:v>
                </c:pt>
                <c:pt idx="2">
                  <c:v>Twitter</c:v>
                </c:pt>
                <c:pt idx="3">
                  <c:v>Youtube</c:v>
                </c:pt>
                <c:pt idx="4">
                  <c:v>Grand Total</c:v>
                </c:pt>
              </c:strCache>
            </c:strRef>
          </c:cat>
          <c:val>
            <c:numRef>
              <c:f>'Task 3'!$Z$19:$Z$23</c:f>
              <c:numCache>
                <c:formatCode>General</c:formatCode>
                <c:ptCount val="5"/>
                <c:pt idx="0">
                  <c:v>27590.78</c:v>
                </c:pt>
                <c:pt idx="1">
                  <c:v>23287.46</c:v>
                </c:pt>
                <c:pt idx="2">
                  <c:v>21207.14</c:v>
                </c:pt>
                <c:pt idx="3">
                  <c:v>24572.94</c:v>
                </c:pt>
                <c:pt idx="4">
                  <c:v>24164.58</c:v>
                </c:pt>
              </c:numCache>
            </c:numRef>
          </c:val>
          <c:smooth val="0"/>
          <c:extLst>
            <c:ext xmlns:c16="http://schemas.microsoft.com/office/drawing/2014/chart" uri="{C3380CC4-5D6E-409C-BE32-E72D297353CC}">
              <c16:uniqueId val="{00000000-03CB-4A2C-9E70-B3DADB140DE1}"/>
            </c:ext>
          </c:extLst>
        </c:ser>
        <c:dLbls>
          <c:showLegendKey val="0"/>
          <c:showVal val="0"/>
          <c:showCatName val="0"/>
          <c:showSerName val="0"/>
          <c:showPercent val="0"/>
          <c:showBubbleSize val="0"/>
        </c:dLbls>
        <c:marker val="1"/>
        <c:smooth val="0"/>
        <c:axId val="690898959"/>
        <c:axId val="393573023"/>
      </c:lineChart>
      <c:scatterChart>
        <c:scatterStyle val="lineMarker"/>
        <c:varyColors val="0"/>
        <c:ser>
          <c:idx val="1"/>
          <c:order val="1"/>
          <c:tx>
            <c:strRef>
              <c:f>'Task 3'!$Y$18</c:f>
              <c:strCache>
                <c:ptCount val="1"/>
                <c:pt idx="0">
                  <c:v>Average of Engagement_Rate</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xVal>
            <c:strRef>
              <c:f>'Task 3'!$X$19:$X$23</c:f>
              <c:strCache>
                <c:ptCount val="5"/>
                <c:pt idx="0">
                  <c:v>Facebook</c:v>
                </c:pt>
                <c:pt idx="1">
                  <c:v>Instagram</c:v>
                </c:pt>
                <c:pt idx="2">
                  <c:v>Twitter</c:v>
                </c:pt>
                <c:pt idx="3">
                  <c:v>Youtube</c:v>
                </c:pt>
                <c:pt idx="4">
                  <c:v>Grand Total</c:v>
                </c:pt>
              </c:strCache>
            </c:strRef>
          </c:xVal>
          <c:yVal>
            <c:numRef>
              <c:f>'Task 3'!$Y$19:$Y$23</c:f>
              <c:numCache>
                <c:formatCode>General</c:formatCode>
                <c:ptCount val="5"/>
                <c:pt idx="0">
                  <c:v>5.6486000000000001</c:v>
                </c:pt>
                <c:pt idx="1">
                  <c:v>5.7156000000000002</c:v>
                </c:pt>
                <c:pt idx="2">
                  <c:v>5.6558000000000002</c:v>
                </c:pt>
                <c:pt idx="3">
                  <c:v>5.5587999999999997</c:v>
                </c:pt>
                <c:pt idx="4">
                  <c:v>5.6446999999999994</c:v>
                </c:pt>
              </c:numCache>
            </c:numRef>
          </c:yVal>
          <c:smooth val="0"/>
          <c:extLst>
            <c:ext xmlns:c16="http://schemas.microsoft.com/office/drawing/2014/chart" uri="{C3380CC4-5D6E-409C-BE32-E72D297353CC}">
              <c16:uniqueId val="{00000001-03CB-4A2C-9E70-B3DADB140DE1}"/>
            </c:ext>
          </c:extLst>
        </c:ser>
        <c:dLbls>
          <c:showLegendKey val="0"/>
          <c:showVal val="0"/>
          <c:showCatName val="0"/>
          <c:showSerName val="0"/>
          <c:showPercent val="0"/>
          <c:showBubbleSize val="0"/>
        </c:dLbls>
        <c:axId val="1187728752"/>
        <c:axId val="1187728336"/>
      </c:scatterChart>
      <c:catAx>
        <c:axId val="690898959"/>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93573023"/>
        <c:crosses val="autoZero"/>
        <c:auto val="1"/>
        <c:lblAlgn val="ctr"/>
        <c:lblOffset val="100"/>
        <c:noMultiLvlLbl val="0"/>
      </c:catAx>
      <c:valAx>
        <c:axId val="393573023"/>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90898959"/>
        <c:crosses val="autoZero"/>
        <c:crossBetween val="between"/>
      </c:valAx>
      <c:valAx>
        <c:axId val="1187728336"/>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87728752"/>
        <c:crosses val="max"/>
        <c:crossBetween val="midCat"/>
      </c:valAx>
      <c:valAx>
        <c:axId val="1187728752"/>
        <c:scaling>
          <c:orientation val="minMax"/>
        </c:scaling>
        <c:delete val="0"/>
        <c:axPos val="t"/>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87728336"/>
        <c:crosses val="max"/>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[Tesla Project Solution PQ .xlsx]Task 4!PivotTable6</c:name>
    <c:fmtId val="1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'Task 4'!$T$3</c:f>
              <c:strCache>
                <c:ptCount val="1"/>
                <c:pt idx="0">
                  <c:v>Total</c:v>
                </c:pt>
              </c:strCache>
            </c:strRef>
          </c:tx>
          <c:spPr>
            <a:solidFill>
              <a:schemeClr val="accent1"/>
            </a:solidFill>
            <a:ln>
              <a:noFill/>
            </a:ln>
            <a:effectLst/>
          </c:spPr>
          <c:invertIfNegative val="0"/>
          <c:cat>
            <c:strRef>
              <c:f>'Task 4'!$S$4:$S$10</c:f>
              <c:strCache>
                <c:ptCount val="6"/>
                <c:pt idx="0">
                  <c:v>anytimeisteslatime</c:v>
                </c:pt>
                <c:pt idx="1">
                  <c:v>betterwithtesla</c:v>
                </c:pt>
                <c:pt idx="2">
                  <c:v>evrevolution</c:v>
                </c:pt>
                <c:pt idx="3">
                  <c:v>futureofdriving</c:v>
                </c:pt>
                <c:pt idx="4">
                  <c:v>smoothlikenitrotesla</c:v>
                </c:pt>
                <c:pt idx="5">
                  <c:v>teslacoinnovation</c:v>
                </c:pt>
              </c:strCache>
            </c:strRef>
          </c:cat>
          <c:val>
            <c:numRef>
              <c:f>'Task 4'!$T$4:$T$10</c:f>
              <c:numCache>
                <c:formatCode>General</c:formatCode>
                <c:ptCount val="6"/>
                <c:pt idx="0">
                  <c:v>0.11443249811045024</c:v>
                </c:pt>
                <c:pt idx="1">
                  <c:v>0.1329552783269681</c:v>
                </c:pt>
                <c:pt idx="2">
                  <c:v>0.15611588590533712</c:v>
                </c:pt>
                <c:pt idx="3">
                  <c:v>0.14204438732000102</c:v>
                </c:pt>
                <c:pt idx="4">
                  <c:v>0.12867496466026568</c:v>
                </c:pt>
                <c:pt idx="5">
                  <c:v>0.15045632711959417</c:v>
                </c:pt>
              </c:numCache>
            </c:numRef>
          </c:val>
          <c:extLst>
            <c:ext xmlns:c16="http://schemas.microsoft.com/office/drawing/2014/chart" uri="{C3380CC4-5D6E-409C-BE32-E72D297353CC}">
              <c16:uniqueId val="{00000000-4AAB-4129-8A21-DD0A5E3931D6}"/>
            </c:ext>
          </c:extLst>
        </c:ser>
        <c:dLbls>
          <c:showLegendKey val="0"/>
          <c:showVal val="0"/>
          <c:showCatName val="0"/>
          <c:showSerName val="0"/>
          <c:showPercent val="0"/>
          <c:showBubbleSize val="0"/>
        </c:dLbls>
        <c:gapWidth val="219"/>
        <c:overlap val="-27"/>
        <c:axId val="200954496"/>
        <c:axId val="1562063744"/>
      </c:barChart>
      <c:catAx>
        <c:axId val="20095449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b="1"/>
                  <a:t>Hashtag_used</a:t>
                </a:r>
              </a:p>
            </c:rich>
          </c:tx>
          <c:layout>
            <c:manualLayout>
              <c:xMode val="edge"/>
              <c:yMode val="edge"/>
              <c:x val="0.35489821322670234"/>
              <c:y val="0.79175853018372711"/>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2063744"/>
        <c:crosses val="autoZero"/>
        <c:auto val="1"/>
        <c:lblAlgn val="ctr"/>
        <c:lblOffset val="100"/>
        <c:noMultiLvlLbl val="0"/>
      </c:catAx>
      <c:valAx>
        <c:axId val="156206374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b="1"/>
                  <a:t>Engagement</a:t>
                </a:r>
                <a:r>
                  <a:rPr lang="en-IN" b="1" baseline="0"/>
                  <a:t> Rate</a:t>
                </a:r>
                <a:endParaRPr lang="en-IN" b="1"/>
              </a:p>
            </c:rich>
          </c:tx>
          <c:layout>
            <c:manualLayout>
              <c:xMode val="edge"/>
              <c:yMode val="edge"/>
              <c:x val="3.7285607755406416E-2"/>
              <c:y val="0.24922337832770899"/>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9544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[Tesla Project Solution PQ .xlsx]Task 4!PivotTable1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000" b="1"/>
              <a:t>Performance by content </a:t>
            </a:r>
          </a:p>
        </c:rich>
      </c:tx>
      <c:layout>
        <c:manualLayout>
          <c:xMode val="edge"/>
          <c:yMode val="edge"/>
          <c:x val="0.26021241830065361"/>
          <c:y val="0.1411370976397467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pivotFmt>
    </c:pivotFmts>
    <c:plotArea>
      <c:layout/>
      <c:barChart>
        <c:barDir val="col"/>
        <c:grouping val="clustered"/>
        <c:varyColors val="0"/>
        <c:ser>
          <c:idx val="0"/>
          <c:order val="0"/>
          <c:tx>
            <c:strRef>
              <c:f>'Task 4'!$Q$38</c:f>
              <c:strCache>
                <c:ptCount val="1"/>
                <c:pt idx="0">
                  <c:v>Total</c:v>
                </c:pt>
              </c:strCache>
            </c:strRef>
          </c:tx>
          <c:spPr>
            <a:solidFill>
              <a:schemeClr val="accent1"/>
            </a:solidFill>
            <a:ln>
              <a:noFill/>
            </a:ln>
            <a:effectLst/>
          </c:spPr>
          <c:invertIfNegative val="0"/>
          <c:cat>
            <c:strRef>
              <c:f>'Task 4'!$P$39:$P$41</c:f>
              <c:strCache>
                <c:ptCount val="3"/>
                <c:pt idx="0">
                  <c:v>Carousel</c:v>
                </c:pt>
                <c:pt idx="1">
                  <c:v>Image</c:v>
                </c:pt>
                <c:pt idx="2">
                  <c:v>Video</c:v>
                </c:pt>
              </c:strCache>
            </c:strRef>
          </c:cat>
          <c:val>
            <c:numRef>
              <c:f>'Task 4'!$Q$39:$Q$41</c:f>
              <c:numCache>
                <c:formatCode>0.00%</c:formatCode>
                <c:ptCount val="3"/>
                <c:pt idx="0">
                  <c:v>0.15393370813053933</c:v>
                </c:pt>
                <c:pt idx="1">
                  <c:v>0.13322810574894689</c:v>
                </c:pt>
                <c:pt idx="2">
                  <c:v>0.14859893961139239</c:v>
                </c:pt>
              </c:numCache>
            </c:numRef>
          </c:val>
          <c:extLst>
            <c:ext xmlns:c16="http://schemas.microsoft.com/office/drawing/2014/chart" uri="{C3380CC4-5D6E-409C-BE32-E72D297353CC}">
              <c16:uniqueId val="{00000000-156B-4E06-A5D1-9AD878C74B68}"/>
            </c:ext>
          </c:extLst>
        </c:ser>
        <c:dLbls>
          <c:showLegendKey val="0"/>
          <c:showVal val="0"/>
          <c:showCatName val="0"/>
          <c:showSerName val="0"/>
          <c:showPercent val="0"/>
          <c:showBubbleSize val="0"/>
        </c:dLbls>
        <c:gapWidth val="219"/>
        <c:overlap val="-27"/>
        <c:axId val="17290544"/>
        <c:axId val="349472080"/>
      </c:barChart>
      <c:catAx>
        <c:axId val="1729054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b="1"/>
                  <a:t>Content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9472080"/>
        <c:crosses val="autoZero"/>
        <c:auto val="1"/>
        <c:lblAlgn val="ctr"/>
        <c:lblOffset val="100"/>
        <c:noMultiLvlLbl val="0"/>
      </c:catAx>
      <c:valAx>
        <c:axId val="34947208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b="1"/>
                  <a:t>Average</a:t>
                </a:r>
                <a:r>
                  <a:rPr lang="en-IN" b="1" baseline="0"/>
                  <a:t> Engagement Rate</a:t>
                </a:r>
                <a:endParaRPr lang="en-IN" b="1"/>
              </a:p>
            </c:rich>
          </c:tx>
          <c:layout>
            <c:manualLayout>
              <c:xMode val="edge"/>
              <c:yMode val="edge"/>
              <c:x val="4.4934640522875817E-2"/>
              <c:y val="0.15408629218745423"/>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905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lotArea>
      <c:layout/>
      <c:barChart>
        <c:barDir val="col"/>
        <c:grouping val="stacked"/>
        <c:varyColors val="0"/>
        <c:ser>
          <c:idx val="0"/>
          <c:order val="0"/>
          <c:tx>
            <c:strRef>
              <c:f>'Task 5'!$U$12</c:f>
              <c:strCache>
                <c:ptCount val="1"/>
                <c:pt idx="0">
                  <c:v>ROI (Total Engagement/Total Budget</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cat>
            <c:strRef>
              <c:f>'Task 5'!$N$13:$N$16</c:f>
              <c:strCache>
                <c:ptCount val="4"/>
                <c:pt idx="0">
                  <c:v>Cybertrucklaunch</c:v>
                </c:pt>
                <c:pt idx="1">
                  <c:v>Fsdupdate</c:v>
                </c:pt>
                <c:pt idx="2">
                  <c:v>Modelycampaign</c:v>
                </c:pt>
                <c:pt idx="3">
                  <c:v>Sustainabilitydrive</c:v>
                </c:pt>
              </c:strCache>
            </c:strRef>
          </c:cat>
          <c:val>
            <c:numRef>
              <c:f>'Task 5'!$U$13:$U$16</c:f>
              <c:numCache>
                <c:formatCode>General</c:formatCode>
                <c:ptCount val="4"/>
                <c:pt idx="0">
                  <c:v>1.15934</c:v>
                </c:pt>
                <c:pt idx="1">
                  <c:v>0.931284</c:v>
                </c:pt>
                <c:pt idx="2">
                  <c:v>1.0086949999999999</c:v>
                </c:pt>
                <c:pt idx="3">
                  <c:v>1.3360166666666666</c:v>
                </c:pt>
              </c:numCache>
            </c:numRef>
          </c:val>
          <c:extLst>
            <c:ext xmlns:c16="http://schemas.microsoft.com/office/drawing/2014/chart" uri="{C3380CC4-5D6E-409C-BE32-E72D297353CC}">
              <c16:uniqueId val="{00000000-A42E-425C-95B7-9443ECF9F276}"/>
            </c:ext>
          </c:extLst>
        </c:ser>
        <c:dLbls>
          <c:showLegendKey val="0"/>
          <c:showVal val="0"/>
          <c:showCatName val="0"/>
          <c:showSerName val="0"/>
          <c:showPercent val="0"/>
          <c:showBubbleSize val="0"/>
        </c:dLbls>
        <c:gapWidth val="150"/>
        <c:overlap val="100"/>
        <c:axId val="370048943"/>
        <c:axId val="389602783"/>
      </c:barChart>
      <c:catAx>
        <c:axId val="370048943"/>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389602783"/>
        <c:crosses val="autoZero"/>
        <c:auto val="1"/>
        <c:lblAlgn val="ctr"/>
        <c:lblOffset val="100"/>
        <c:noMultiLvlLbl val="0"/>
      </c:catAx>
      <c:valAx>
        <c:axId val="389602783"/>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3700489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[Tesla Project Solution PQ .xlsx]Task 6!PivotTable16</c:name>
    <c:fmtId val="0"/>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IN" sz="1200"/>
              <a:t>Weekly</a:t>
            </a:r>
            <a:r>
              <a:rPr lang="en-IN" sz="1200" baseline="0"/>
              <a:t> </a:t>
            </a:r>
            <a:r>
              <a:rPr lang="en-IN" sz="1200"/>
              <a:t>Follower</a:t>
            </a:r>
            <a:r>
              <a:rPr lang="en-IN" sz="1200" baseline="0"/>
              <a:t> </a:t>
            </a:r>
            <a:r>
              <a:rPr lang="en-IN" sz="1200"/>
              <a:t>Growth by Platform</a:t>
            </a:r>
          </a:p>
        </c:rich>
      </c:tx>
      <c:layout>
        <c:manualLayout>
          <c:xMode val="edge"/>
          <c:yMode val="edge"/>
          <c:x val="0.15795122484689417"/>
          <c:y val="0.11393320490520632"/>
        </c:manualLayout>
      </c:layout>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2225" cap="rnd">
            <a:solidFill>
              <a:schemeClr val="accent1"/>
            </a:solidFill>
          </a:ln>
          <a:effectLst>
            <a:glow rad="139700">
              <a:schemeClr val="accent1">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2225" cap="rnd">
            <a:solidFill>
              <a:schemeClr val="accent1"/>
            </a:solidFill>
          </a:ln>
          <a:effectLst>
            <a:glow rad="139700">
              <a:schemeClr val="accent1">
                <a:satMod val="175000"/>
                <a:alpha val="14000"/>
              </a:schemeClr>
            </a:glow>
          </a:effectLst>
        </c:spPr>
        <c:marker>
          <c:symbol val="circle"/>
          <c:size val="4"/>
          <c:spPr>
            <a:solidFill>
              <a:schemeClr val="accent3">
                <a:lumMod val="60000"/>
                <a:lumOff val="40000"/>
              </a:schemeClr>
            </a:solidFill>
            <a:ln>
              <a:noFill/>
            </a:ln>
            <a:effectLst>
              <a:glow rad="63500">
                <a:schemeClr val="accent3">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2225" cap="rnd">
            <a:solidFill>
              <a:schemeClr val="accent1"/>
            </a:solidFill>
          </a:ln>
          <a:effectLst>
            <a:glow rad="139700">
              <a:schemeClr val="accent1">
                <a:satMod val="175000"/>
                <a:alpha val="14000"/>
              </a:schemeClr>
            </a:glow>
          </a:effectLst>
        </c:spPr>
        <c:marker>
          <c:symbol val="circle"/>
          <c:size val="4"/>
          <c:spPr>
            <a:solidFill>
              <a:schemeClr val="accent4">
                <a:lumMod val="60000"/>
                <a:lumOff val="40000"/>
              </a:schemeClr>
            </a:solidFill>
            <a:ln>
              <a:noFill/>
            </a:ln>
            <a:effectLst>
              <a:glow rad="63500">
                <a:schemeClr val="accent4">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'Task 6'!$K$4:$K$5</c:f>
              <c:strCache>
                <c:ptCount val="1"/>
                <c:pt idx="0">
                  <c:v>Facebook</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strRef>
              <c:f>'Task 6'!$J$6:$J$56</c:f>
              <c:strCache>
                <c:ptCount val="50"/>
                <c:pt idx="0">
                  <c:v>01-07-2024</c:v>
                </c:pt>
                <c:pt idx="1">
                  <c:v>02-09-2024</c:v>
                </c:pt>
                <c:pt idx="2">
                  <c:v>02-12-2024</c:v>
                </c:pt>
                <c:pt idx="3">
                  <c:v>03-02-2025</c:v>
                </c:pt>
                <c:pt idx="4">
                  <c:v>03-03-2025</c:v>
                </c:pt>
                <c:pt idx="5">
                  <c:v>03-06-2024</c:v>
                </c:pt>
                <c:pt idx="6">
                  <c:v>04-11-2024</c:v>
                </c:pt>
                <c:pt idx="7">
                  <c:v>05-05-2025</c:v>
                </c:pt>
                <c:pt idx="8">
                  <c:v>05-08-2024</c:v>
                </c:pt>
                <c:pt idx="9">
                  <c:v>06-01-2025</c:v>
                </c:pt>
                <c:pt idx="10">
                  <c:v>07-04-2025</c:v>
                </c:pt>
                <c:pt idx="11">
                  <c:v>07-10-2024</c:v>
                </c:pt>
                <c:pt idx="12">
                  <c:v>08-07-2024</c:v>
                </c:pt>
                <c:pt idx="13">
                  <c:v>09-09-2024</c:v>
                </c:pt>
                <c:pt idx="14">
                  <c:v>09-12-2024</c:v>
                </c:pt>
                <c:pt idx="15">
                  <c:v>10-02-2025</c:v>
                </c:pt>
                <c:pt idx="16">
                  <c:v>10-03-2025</c:v>
                </c:pt>
                <c:pt idx="17">
                  <c:v>10-06-2024</c:v>
                </c:pt>
                <c:pt idx="18">
                  <c:v>11-11-2024</c:v>
                </c:pt>
                <c:pt idx="19">
                  <c:v>12-05-2025</c:v>
                </c:pt>
                <c:pt idx="20">
                  <c:v>12-08-2024</c:v>
                </c:pt>
                <c:pt idx="21">
                  <c:v>13-01-2025</c:v>
                </c:pt>
                <c:pt idx="22">
                  <c:v>14-04-2025</c:v>
                </c:pt>
                <c:pt idx="23">
                  <c:v>14-10-2024</c:v>
                </c:pt>
                <c:pt idx="24">
                  <c:v>15-07-2024</c:v>
                </c:pt>
                <c:pt idx="25">
                  <c:v>16-09-2024</c:v>
                </c:pt>
                <c:pt idx="26">
                  <c:v>16-12-2024</c:v>
                </c:pt>
                <c:pt idx="27">
                  <c:v>17-02-2025</c:v>
                </c:pt>
                <c:pt idx="28">
                  <c:v>17-03-2025</c:v>
                </c:pt>
                <c:pt idx="29">
                  <c:v>17-06-2024</c:v>
                </c:pt>
                <c:pt idx="30">
                  <c:v>18-11-2024</c:v>
                </c:pt>
                <c:pt idx="31">
                  <c:v>19-08-2024</c:v>
                </c:pt>
                <c:pt idx="32">
                  <c:v>20-01-2025</c:v>
                </c:pt>
                <c:pt idx="33">
                  <c:v>21-04-2025</c:v>
                </c:pt>
                <c:pt idx="34">
                  <c:v>21-10-2024</c:v>
                </c:pt>
                <c:pt idx="35">
                  <c:v>22-07-2024</c:v>
                </c:pt>
                <c:pt idx="36">
                  <c:v>23-09-2024</c:v>
                </c:pt>
                <c:pt idx="37">
                  <c:v>23-12-2024</c:v>
                </c:pt>
                <c:pt idx="38">
                  <c:v>24-02-2025</c:v>
                </c:pt>
                <c:pt idx="39">
                  <c:v>24-03-2025</c:v>
                </c:pt>
                <c:pt idx="40">
                  <c:v>24-06-2024</c:v>
                </c:pt>
                <c:pt idx="41">
                  <c:v>25-11-2024</c:v>
                </c:pt>
                <c:pt idx="42">
                  <c:v>26-08-2024</c:v>
                </c:pt>
                <c:pt idx="43">
                  <c:v>27-01-2025</c:v>
                </c:pt>
                <c:pt idx="44">
                  <c:v>28-04-2025</c:v>
                </c:pt>
                <c:pt idx="45">
                  <c:v>28-10-2024</c:v>
                </c:pt>
                <c:pt idx="46">
                  <c:v>29-07-2024</c:v>
                </c:pt>
                <c:pt idx="47">
                  <c:v>30-09-2024</c:v>
                </c:pt>
                <c:pt idx="48">
                  <c:v>30-12-2024</c:v>
                </c:pt>
                <c:pt idx="49">
                  <c:v>31-03-2025</c:v>
                </c:pt>
              </c:strCache>
            </c:strRef>
          </c:cat>
          <c:val>
            <c:numRef>
              <c:f>'Task 6'!$K$6:$K$56</c:f>
              <c:numCache>
                <c:formatCode>General</c:formatCode>
                <c:ptCount val="50"/>
                <c:pt idx="0">
                  <c:v>64</c:v>
                </c:pt>
                <c:pt idx="1">
                  <c:v>1045</c:v>
                </c:pt>
                <c:pt idx="2">
                  <c:v>1706</c:v>
                </c:pt>
                <c:pt idx="3">
                  <c:v>748</c:v>
                </c:pt>
                <c:pt idx="4">
                  <c:v>-119</c:v>
                </c:pt>
                <c:pt idx="5">
                  <c:v>1002</c:v>
                </c:pt>
                <c:pt idx="6">
                  <c:v>540</c:v>
                </c:pt>
                <c:pt idx="7">
                  <c:v>339</c:v>
                </c:pt>
                <c:pt idx="8">
                  <c:v>-197</c:v>
                </c:pt>
                <c:pt idx="9">
                  <c:v>620</c:v>
                </c:pt>
                <c:pt idx="10">
                  <c:v>1029</c:v>
                </c:pt>
                <c:pt idx="11">
                  <c:v>1662</c:v>
                </c:pt>
                <c:pt idx="12">
                  <c:v>309</c:v>
                </c:pt>
                <c:pt idx="13">
                  <c:v>1428</c:v>
                </c:pt>
                <c:pt idx="14">
                  <c:v>1373</c:v>
                </c:pt>
                <c:pt idx="15">
                  <c:v>912</c:v>
                </c:pt>
                <c:pt idx="16">
                  <c:v>908</c:v>
                </c:pt>
                <c:pt idx="17">
                  <c:v>1283</c:v>
                </c:pt>
                <c:pt idx="18">
                  <c:v>-106</c:v>
                </c:pt>
                <c:pt idx="19">
                  <c:v>407</c:v>
                </c:pt>
                <c:pt idx="20">
                  <c:v>1334</c:v>
                </c:pt>
                <c:pt idx="21">
                  <c:v>298</c:v>
                </c:pt>
                <c:pt idx="22">
                  <c:v>-175</c:v>
                </c:pt>
                <c:pt idx="23">
                  <c:v>285</c:v>
                </c:pt>
                <c:pt idx="24">
                  <c:v>-164</c:v>
                </c:pt>
                <c:pt idx="25">
                  <c:v>98</c:v>
                </c:pt>
                <c:pt idx="26">
                  <c:v>1377</c:v>
                </c:pt>
                <c:pt idx="27">
                  <c:v>1590</c:v>
                </c:pt>
                <c:pt idx="28">
                  <c:v>1116</c:v>
                </c:pt>
                <c:pt idx="29">
                  <c:v>1382</c:v>
                </c:pt>
                <c:pt idx="30">
                  <c:v>72</c:v>
                </c:pt>
                <c:pt idx="31">
                  <c:v>1058</c:v>
                </c:pt>
                <c:pt idx="32">
                  <c:v>427</c:v>
                </c:pt>
                <c:pt idx="33">
                  <c:v>1045</c:v>
                </c:pt>
                <c:pt idx="34">
                  <c:v>439</c:v>
                </c:pt>
                <c:pt idx="35">
                  <c:v>961</c:v>
                </c:pt>
                <c:pt idx="36">
                  <c:v>-19</c:v>
                </c:pt>
                <c:pt idx="37">
                  <c:v>730</c:v>
                </c:pt>
                <c:pt idx="38">
                  <c:v>1707</c:v>
                </c:pt>
                <c:pt idx="39">
                  <c:v>474</c:v>
                </c:pt>
                <c:pt idx="40">
                  <c:v>1670</c:v>
                </c:pt>
                <c:pt idx="41">
                  <c:v>1332</c:v>
                </c:pt>
                <c:pt idx="42">
                  <c:v>37</c:v>
                </c:pt>
                <c:pt idx="43">
                  <c:v>898</c:v>
                </c:pt>
                <c:pt idx="44">
                  <c:v>453</c:v>
                </c:pt>
                <c:pt idx="45">
                  <c:v>386</c:v>
                </c:pt>
                <c:pt idx="46">
                  <c:v>-318</c:v>
                </c:pt>
                <c:pt idx="47">
                  <c:v>-179</c:v>
                </c:pt>
                <c:pt idx="48">
                  <c:v>1776</c:v>
                </c:pt>
                <c:pt idx="49">
                  <c:v>514</c:v>
                </c:pt>
              </c:numCache>
            </c:numRef>
          </c:val>
          <c:smooth val="0"/>
          <c:extLst>
            <c:ext xmlns:c16="http://schemas.microsoft.com/office/drawing/2014/chart" uri="{C3380CC4-5D6E-409C-BE32-E72D297353CC}">
              <c16:uniqueId val="{00000000-5CAC-4184-9377-56C0FA694F2B}"/>
            </c:ext>
          </c:extLst>
        </c:ser>
        <c:ser>
          <c:idx val="1"/>
          <c:order val="1"/>
          <c:tx>
            <c:strRef>
              <c:f>'Task 6'!$L$4:$L$5</c:f>
              <c:strCache>
                <c:ptCount val="1"/>
                <c:pt idx="0">
                  <c:v>Instagram</c:v>
                </c:pt>
              </c:strCache>
            </c:strRef>
          </c:tx>
          <c:spPr>
            <a:ln w="22225" cap="rnd">
              <a:solidFill>
                <a:schemeClr val="accent2"/>
              </a:solidFill>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cat>
            <c:strRef>
              <c:f>'Task 6'!$J$6:$J$56</c:f>
              <c:strCache>
                <c:ptCount val="50"/>
                <c:pt idx="0">
                  <c:v>01-07-2024</c:v>
                </c:pt>
                <c:pt idx="1">
                  <c:v>02-09-2024</c:v>
                </c:pt>
                <c:pt idx="2">
                  <c:v>02-12-2024</c:v>
                </c:pt>
                <c:pt idx="3">
                  <c:v>03-02-2025</c:v>
                </c:pt>
                <c:pt idx="4">
                  <c:v>03-03-2025</c:v>
                </c:pt>
                <c:pt idx="5">
                  <c:v>03-06-2024</c:v>
                </c:pt>
                <c:pt idx="6">
                  <c:v>04-11-2024</c:v>
                </c:pt>
                <c:pt idx="7">
                  <c:v>05-05-2025</c:v>
                </c:pt>
                <c:pt idx="8">
                  <c:v>05-08-2024</c:v>
                </c:pt>
                <c:pt idx="9">
                  <c:v>06-01-2025</c:v>
                </c:pt>
                <c:pt idx="10">
                  <c:v>07-04-2025</c:v>
                </c:pt>
                <c:pt idx="11">
                  <c:v>07-10-2024</c:v>
                </c:pt>
                <c:pt idx="12">
                  <c:v>08-07-2024</c:v>
                </c:pt>
                <c:pt idx="13">
                  <c:v>09-09-2024</c:v>
                </c:pt>
                <c:pt idx="14">
                  <c:v>09-12-2024</c:v>
                </c:pt>
                <c:pt idx="15">
                  <c:v>10-02-2025</c:v>
                </c:pt>
                <c:pt idx="16">
                  <c:v>10-03-2025</c:v>
                </c:pt>
                <c:pt idx="17">
                  <c:v>10-06-2024</c:v>
                </c:pt>
                <c:pt idx="18">
                  <c:v>11-11-2024</c:v>
                </c:pt>
                <c:pt idx="19">
                  <c:v>12-05-2025</c:v>
                </c:pt>
                <c:pt idx="20">
                  <c:v>12-08-2024</c:v>
                </c:pt>
                <c:pt idx="21">
                  <c:v>13-01-2025</c:v>
                </c:pt>
                <c:pt idx="22">
                  <c:v>14-04-2025</c:v>
                </c:pt>
                <c:pt idx="23">
                  <c:v>14-10-2024</c:v>
                </c:pt>
                <c:pt idx="24">
                  <c:v>15-07-2024</c:v>
                </c:pt>
                <c:pt idx="25">
                  <c:v>16-09-2024</c:v>
                </c:pt>
                <c:pt idx="26">
                  <c:v>16-12-2024</c:v>
                </c:pt>
                <c:pt idx="27">
                  <c:v>17-02-2025</c:v>
                </c:pt>
                <c:pt idx="28">
                  <c:v>17-03-2025</c:v>
                </c:pt>
                <c:pt idx="29">
                  <c:v>17-06-2024</c:v>
                </c:pt>
                <c:pt idx="30">
                  <c:v>18-11-2024</c:v>
                </c:pt>
                <c:pt idx="31">
                  <c:v>19-08-2024</c:v>
                </c:pt>
                <c:pt idx="32">
                  <c:v>20-01-2025</c:v>
                </c:pt>
                <c:pt idx="33">
                  <c:v>21-04-2025</c:v>
                </c:pt>
                <c:pt idx="34">
                  <c:v>21-10-2024</c:v>
                </c:pt>
                <c:pt idx="35">
                  <c:v>22-07-2024</c:v>
                </c:pt>
                <c:pt idx="36">
                  <c:v>23-09-2024</c:v>
                </c:pt>
                <c:pt idx="37">
                  <c:v>23-12-2024</c:v>
                </c:pt>
                <c:pt idx="38">
                  <c:v>24-02-2025</c:v>
                </c:pt>
                <c:pt idx="39">
                  <c:v>24-03-2025</c:v>
                </c:pt>
                <c:pt idx="40">
                  <c:v>24-06-2024</c:v>
                </c:pt>
                <c:pt idx="41">
                  <c:v>25-11-2024</c:v>
                </c:pt>
                <c:pt idx="42">
                  <c:v>26-08-2024</c:v>
                </c:pt>
                <c:pt idx="43">
                  <c:v>27-01-2025</c:v>
                </c:pt>
                <c:pt idx="44">
                  <c:v>28-04-2025</c:v>
                </c:pt>
                <c:pt idx="45">
                  <c:v>28-10-2024</c:v>
                </c:pt>
                <c:pt idx="46">
                  <c:v>29-07-2024</c:v>
                </c:pt>
                <c:pt idx="47">
                  <c:v>30-09-2024</c:v>
                </c:pt>
                <c:pt idx="48">
                  <c:v>30-12-2024</c:v>
                </c:pt>
                <c:pt idx="49">
                  <c:v>31-03-2025</c:v>
                </c:pt>
              </c:strCache>
            </c:strRef>
          </c:cat>
          <c:val>
            <c:numRef>
              <c:f>'Task 6'!$L$6:$L$56</c:f>
              <c:numCache>
                <c:formatCode>General</c:formatCode>
                <c:ptCount val="50"/>
                <c:pt idx="0">
                  <c:v>-219</c:v>
                </c:pt>
                <c:pt idx="1">
                  <c:v>1247</c:v>
                </c:pt>
                <c:pt idx="2">
                  <c:v>1625</c:v>
                </c:pt>
                <c:pt idx="3">
                  <c:v>1080</c:v>
                </c:pt>
                <c:pt idx="4">
                  <c:v>1315</c:v>
                </c:pt>
                <c:pt idx="5">
                  <c:v>1047</c:v>
                </c:pt>
                <c:pt idx="6">
                  <c:v>1397</c:v>
                </c:pt>
                <c:pt idx="7">
                  <c:v>1881</c:v>
                </c:pt>
                <c:pt idx="8">
                  <c:v>352</c:v>
                </c:pt>
                <c:pt idx="9">
                  <c:v>903</c:v>
                </c:pt>
                <c:pt idx="10">
                  <c:v>167</c:v>
                </c:pt>
                <c:pt idx="11">
                  <c:v>1872</c:v>
                </c:pt>
                <c:pt idx="12">
                  <c:v>1672</c:v>
                </c:pt>
                <c:pt idx="13">
                  <c:v>1572</c:v>
                </c:pt>
                <c:pt idx="14">
                  <c:v>1119</c:v>
                </c:pt>
                <c:pt idx="15">
                  <c:v>1723</c:v>
                </c:pt>
                <c:pt idx="16">
                  <c:v>212</c:v>
                </c:pt>
                <c:pt idx="17">
                  <c:v>517</c:v>
                </c:pt>
                <c:pt idx="18">
                  <c:v>902</c:v>
                </c:pt>
                <c:pt idx="19">
                  <c:v>1656</c:v>
                </c:pt>
                <c:pt idx="20">
                  <c:v>1325</c:v>
                </c:pt>
                <c:pt idx="21">
                  <c:v>1722</c:v>
                </c:pt>
                <c:pt idx="22">
                  <c:v>-160</c:v>
                </c:pt>
                <c:pt idx="23">
                  <c:v>1224</c:v>
                </c:pt>
                <c:pt idx="24">
                  <c:v>1845</c:v>
                </c:pt>
                <c:pt idx="25">
                  <c:v>377</c:v>
                </c:pt>
                <c:pt idx="26">
                  <c:v>1432</c:v>
                </c:pt>
                <c:pt idx="27">
                  <c:v>965</c:v>
                </c:pt>
                <c:pt idx="28">
                  <c:v>680</c:v>
                </c:pt>
                <c:pt idx="29">
                  <c:v>893</c:v>
                </c:pt>
                <c:pt idx="30">
                  <c:v>-49</c:v>
                </c:pt>
                <c:pt idx="31">
                  <c:v>76</c:v>
                </c:pt>
                <c:pt idx="32">
                  <c:v>1572</c:v>
                </c:pt>
                <c:pt idx="33">
                  <c:v>603</c:v>
                </c:pt>
                <c:pt idx="34">
                  <c:v>262</c:v>
                </c:pt>
                <c:pt idx="35">
                  <c:v>159</c:v>
                </c:pt>
                <c:pt idx="36">
                  <c:v>666</c:v>
                </c:pt>
                <c:pt idx="37">
                  <c:v>684</c:v>
                </c:pt>
                <c:pt idx="38">
                  <c:v>1375</c:v>
                </c:pt>
                <c:pt idx="39">
                  <c:v>461</c:v>
                </c:pt>
                <c:pt idx="40">
                  <c:v>629</c:v>
                </c:pt>
                <c:pt idx="41">
                  <c:v>1693</c:v>
                </c:pt>
                <c:pt idx="42">
                  <c:v>1609</c:v>
                </c:pt>
                <c:pt idx="43">
                  <c:v>-166</c:v>
                </c:pt>
                <c:pt idx="44">
                  <c:v>1539</c:v>
                </c:pt>
                <c:pt idx="45">
                  <c:v>576</c:v>
                </c:pt>
                <c:pt idx="46">
                  <c:v>541</c:v>
                </c:pt>
                <c:pt idx="47">
                  <c:v>1025</c:v>
                </c:pt>
                <c:pt idx="48">
                  <c:v>1765</c:v>
                </c:pt>
                <c:pt idx="49">
                  <c:v>641</c:v>
                </c:pt>
              </c:numCache>
            </c:numRef>
          </c:val>
          <c:smooth val="0"/>
          <c:extLst>
            <c:ext xmlns:c16="http://schemas.microsoft.com/office/drawing/2014/chart" uri="{C3380CC4-5D6E-409C-BE32-E72D297353CC}">
              <c16:uniqueId val="{00000001-5CAC-4184-9377-56C0FA694F2B}"/>
            </c:ext>
          </c:extLst>
        </c:ser>
        <c:ser>
          <c:idx val="2"/>
          <c:order val="2"/>
          <c:tx>
            <c:strRef>
              <c:f>'Task 6'!$M$4:$M$5</c:f>
              <c:strCache>
                <c:ptCount val="1"/>
                <c:pt idx="0">
                  <c:v>Twitter</c:v>
                </c:pt>
              </c:strCache>
            </c:strRef>
          </c:tx>
          <c:spPr>
            <a:ln w="22225" cap="rnd">
              <a:solidFill>
                <a:schemeClr val="accent3"/>
              </a:solidFill>
            </a:ln>
            <a:effectLst>
              <a:glow rad="139700">
                <a:schemeClr val="accent3">
                  <a:satMod val="175000"/>
                  <a:alpha val="14000"/>
                </a:schemeClr>
              </a:glow>
            </a:effectLst>
          </c:spPr>
          <c:marker>
            <c:symbol val="circle"/>
            <c:size val="4"/>
            <c:spPr>
              <a:solidFill>
                <a:schemeClr val="accent3">
                  <a:lumMod val="60000"/>
                  <a:lumOff val="40000"/>
                </a:schemeClr>
              </a:solidFill>
              <a:ln>
                <a:noFill/>
              </a:ln>
              <a:effectLst>
                <a:glow rad="63500">
                  <a:schemeClr val="accent3">
                    <a:satMod val="175000"/>
                    <a:alpha val="25000"/>
                  </a:schemeClr>
                </a:glow>
              </a:effectLst>
            </c:spPr>
          </c:marker>
          <c:cat>
            <c:strRef>
              <c:f>'Task 6'!$J$6:$J$56</c:f>
              <c:strCache>
                <c:ptCount val="50"/>
                <c:pt idx="0">
                  <c:v>01-07-2024</c:v>
                </c:pt>
                <c:pt idx="1">
                  <c:v>02-09-2024</c:v>
                </c:pt>
                <c:pt idx="2">
                  <c:v>02-12-2024</c:v>
                </c:pt>
                <c:pt idx="3">
                  <c:v>03-02-2025</c:v>
                </c:pt>
                <c:pt idx="4">
                  <c:v>03-03-2025</c:v>
                </c:pt>
                <c:pt idx="5">
                  <c:v>03-06-2024</c:v>
                </c:pt>
                <c:pt idx="6">
                  <c:v>04-11-2024</c:v>
                </c:pt>
                <c:pt idx="7">
                  <c:v>05-05-2025</c:v>
                </c:pt>
                <c:pt idx="8">
                  <c:v>05-08-2024</c:v>
                </c:pt>
                <c:pt idx="9">
                  <c:v>06-01-2025</c:v>
                </c:pt>
                <c:pt idx="10">
                  <c:v>07-04-2025</c:v>
                </c:pt>
                <c:pt idx="11">
                  <c:v>07-10-2024</c:v>
                </c:pt>
                <c:pt idx="12">
                  <c:v>08-07-2024</c:v>
                </c:pt>
                <c:pt idx="13">
                  <c:v>09-09-2024</c:v>
                </c:pt>
                <c:pt idx="14">
                  <c:v>09-12-2024</c:v>
                </c:pt>
                <c:pt idx="15">
                  <c:v>10-02-2025</c:v>
                </c:pt>
                <c:pt idx="16">
                  <c:v>10-03-2025</c:v>
                </c:pt>
                <c:pt idx="17">
                  <c:v>10-06-2024</c:v>
                </c:pt>
                <c:pt idx="18">
                  <c:v>11-11-2024</c:v>
                </c:pt>
                <c:pt idx="19">
                  <c:v>12-05-2025</c:v>
                </c:pt>
                <c:pt idx="20">
                  <c:v>12-08-2024</c:v>
                </c:pt>
                <c:pt idx="21">
                  <c:v>13-01-2025</c:v>
                </c:pt>
                <c:pt idx="22">
                  <c:v>14-04-2025</c:v>
                </c:pt>
                <c:pt idx="23">
                  <c:v>14-10-2024</c:v>
                </c:pt>
                <c:pt idx="24">
                  <c:v>15-07-2024</c:v>
                </c:pt>
                <c:pt idx="25">
                  <c:v>16-09-2024</c:v>
                </c:pt>
                <c:pt idx="26">
                  <c:v>16-12-2024</c:v>
                </c:pt>
                <c:pt idx="27">
                  <c:v>17-02-2025</c:v>
                </c:pt>
                <c:pt idx="28">
                  <c:v>17-03-2025</c:v>
                </c:pt>
                <c:pt idx="29">
                  <c:v>17-06-2024</c:v>
                </c:pt>
                <c:pt idx="30">
                  <c:v>18-11-2024</c:v>
                </c:pt>
                <c:pt idx="31">
                  <c:v>19-08-2024</c:v>
                </c:pt>
                <c:pt idx="32">
                  <c:v>20-01-2025</c:v>
                </c:pt>
                <c:pt idx="33">
                  <c:v>21-04-2025</c:v>
                </c:pt>
                <c:pt idx="34">
                  <c:v>21-10-2024</c:v>
                </c:pt>
                <c:pt idx="35">
                  <c:v>22-07-2024</c:v>
                </c:pt>
                <c:pt idx="36">
                  <c:v>23-09-2024</c:v>
                </c:pt>
                <c:pt idx="37">
                  <c:v>23-12-2024</c:v>
                </c:pt>
                <c:pt idx="38">
                  <c:v>24-02-2025</c:v>
                </c:pt>
                <c:pt idx="39">
                  <c:v>24-03-2025</c:v>
                </c:pt>
                <c:pt idx="40">
                  <c:v>24-06-2024</c:v>
                </c:pt>
                <c:pt idx="41">
                  <c:v>25-11-2024</c:v>
                </c:pt>
                <c:pt idx="42">
                  <c:v>26-08-2024</c:v>
                </c:pt>
                <c:pt idx="43">
                  <c:v>27-01-2025</c:v>
                </c:pt>
                <c:pt idx="44">
                  <c:v>28-04-2025</c:v>
                </c:pt>
                <c:pt idx="45">
                  <c:v>28-10-2024</c:v>
                </c:pt>
                <c:pt idx="46">
                  <c:v>29-07-2024</c:v>
                </c:pt>
                <c:pt idx="47">
                  <c:v>30-09-2024</c:v>
                </c:pt>
                <c:pt idx="48">
                  <c:v>30-12-2024</c:v>
                </c:pt>
                <c:pt idx="49">
                  <c:v>31-03-2025</c:v>
                </c:pt>
              </c:strCache>
            </c:strRef>
          </c:cat>
          <c:val>
            <c:numRef>
              <c:f>'Task 6'!$M$6:$M$56</c:f>
              <c:numCache>
                <c:formatCode>General</c:formatCode>
                <c:ptCount val="50"/>
                <c:pt idx="0">
                  <c:v>1357</c:v>
                </c:pt>
                <c:pt idx="1">
                  <c:v>197</c:v>
                </c:pt>
                <c:pt idx="2">
                  <c:v>1173</c:v>
                </c:pt>
                <c:pt idx="3">
                  <c:v>569</c:v>
                </c:pt>
                <c:pt idx="4">
                  <c:v>899</c:v>
                </c:pt>
                <c:pt idx="5">
                  <c:v>415</c:v>
                </c:pt>
                <c:pt idx="6">
                  <c:v>1603</c:v>
                </c:pt>
                <c:pt idx="7">
                  <c:v>1510</c:v>
                </c:pt>
                <c:pt idx="8">
                  <c:v>328</c:v>
                </c:pt>
                <c:pt idx="9">
                  <c:v>1188</c:v>
                </c:pt>
                <c:pt idx="10">
                  <c:v>1007</c:v>
                </c:pt>
                <c:pt idx="11">
                  <c:v>107</c:v>
                </c:pt>
                <c:pt idx="12">
                  <c:v>547</c:v>
                </c:pt>
                <c:pt idx="13">
                  <c:v>260</c:v>
                </c:pt>
                <c:pt idx="14">
                  <c:v>1727</c:v>
                </c:pt>
                <c:pt idx="15">
                  <c:v>1202</c:v>
                </c:pt>
                <c:pt idx="16">
                  <c:v>1350</c:v>
                </c:pt>
                <c:pt idx="17">
                  <c:v>186</c:v>
                </c:pt>
                <c:pt idx="18">
                  <c:v>1150</c:v>
                </c:pt>
                <c:pt idx="19">
                  <c:v>269</c:v>
                </c:pt>
                <c:pt idx="20">
                  <c:v>37</c:v>
                </c:pt>
                <c:pt idx="21">
                  <c:v>-144</c:v>
                </c:pt>
                <c:pt idx="22">
                  <c:v>53</c:v>
                </c:pt>
                <c:pt idx="23">
                  <c:v>-20</c:v>
                </c:pt>
                <c:pt idx="24">
                  <c:v>429</c:v>
                </c:pt>
                <c:pt idx="25">
                  <c:v>1125</c:v>
                </c:pt>
                <c:pt idx="26">
                  <c:v>1359</c:v>
                </c:pt>
                <c:pt idx="27">
                  <c:v>-37</c:v>
                </c:pt>
                <c:pt idx="28">
                  <c:v>861</c:v>
                </c:pt>
                <c:pt idx="29">
                  <c:v>1295</c:v>
                </c:pt>
                <c:pt idx="30">
                  <c:v>445</c:v>
                </c:pt>
                <c:pt idx="31">
                  <c:v>1665</c:v>
                </c:pt>
                <c:pt idx="32">
                  <c:v>891</c:v>
                </c:pt>
                <c:pt idx="33">
                  <c:v>759</c:v>
                </c:pt>
                <c:pt idx="34">
                  <c:v>636</c:v>
                </c:pt>
                <c:pt idx="35">
                  <c:v>1316</c:v>
                </c:pt>
                <c:pt idx="36">
                  <c:v>1680</c:v>
                </c:pt>
                <c:pt idx="37">
                  <c:v>911</c:v>
                </c:pt>
                <c:pt idx="38">
                  <c:v>708</c:v>
                </c:pt>
                <c:pt idx="39">
                  <c:v>292</c:v>
                </c:pt>
                <c:pt idx="40">
                  <c:v>835</c:v>
                </c:pt>
                <c:pt idx="41">
                  <c:v>98</c:v>
                </c:pt>
                <c:pt idx="42">
                  <c:v>1229</c:v>
                </c:pt>
                <c:pt idx="43">
                  <c:v>1426</c:v>
                </c:pt>
                <c:pt idx="44">
                  <c:v>948</c:v>
                </c:pt>
                <c:pt idx="45">
                  <c:v>37</c:v>
                </c:pt>
                <c:pt idx="46">
                  <c:v>1495</c:v>
                </c:pt>
                <c:pt idx="47">
                  <c:v>599</c:v>
                </c:pt>
                <c:pt idx="48">
                  <c:v>1529</c:v>
                </c:pt>
                <c:pt idx="49">
                  <c:v>1676</c:v>
                </c:pt>
              </c:numCache>
            </c:numRef>
          </c:val>
          <c:smooth val="0"/>
          <c:extLst>
            <c:ext xmlns:c16="http://schemas.microsoft.com/office/drawing/2014/chart" uri="{C3380CC4-5D6E-409C-BE32-E72D297353CC}">
              <c16:uniqueId val="{00000002-5CAC-4184-9377-56C0FA694F2B}"/>
            </c:ext>
          </c:extLst>
        </c:ser>
        <c:ser>
          <c:idx val="3"/>
          <c:order val="3"/>
          <c:tx>
            <c:strRef>
              <c:f>'Task 6'!$N$4:$N$5</c:f>
              <c:strCache>
                <c:ptCount val="1"/>
                <c:pt idx="0">
                  <c:v>Youtube</c:v>
                </c:pt>
              </c:strCache>
            </c:strRef>
          </c:tx>
          <c:spPr>
            <a:ln w="22225" cap="rnd">
              <a:solidFill>
                <a:schemeClr val="accent4"/>
              </a:solidFill>
            </a:ln>
            <a:effectLst>
              <a:glow rad="139700">
                <a:schemeClr val="accent4">
                  <a:satMod val="175000"/>
                  <a:alpha val="14000"/>
                </a:schemeClr>
              </a:glow>
            </a:effectLst>
          </c:spPr>
          <c:marker>
            <c:symbol val="circle"/>
            <c:size val="4"/>
            <c:spPr>
              <a:solidFill>
                <a:schemeClr val="accent4">
                  <a:lumMod val="60000"/>
                  <a:lumOff val="40000"/>
                </a:schemeClr>
              </a:solidFill>
              <a:ln>
                <a:noFill/>
              </a:ln>
              <a:effectLst>
                <a:glow rad="63500">
                  <a:schemeClr val="accent4">
                    <a:satMod val="175000"/>
                    <a:alpha val="25000"/>
                  </a:schemeClr>
                </a:glow>
              </a:effectLst>
            </c:spPr>
          </c:marker>
          <c:cat>
            <c:strRef>
              <c:f>'Task 6'!$J$6:$J$56</c:f>
              <c:strCache>
                <c:ptCount val="50"/>
                <c:pt idx="0">
                  <c:v>01-07-2024</c:v>
                </c:pt>
                <c:pt idx="1">
                  <c:v>02-09-2024</c:v>
                </c:pt>
                <c:pt idx="2">
                  <c:v>02-12-2024</c:v>
                </c:pt>
                <c:pt idx="3">
                  <c:v>03-02-2025</c:v>
                </c:pt>
                <c:pt idx="4">
                  <c:v>03-03-2025</c:v>
                </c:pt>
                <c:pt idx="5">
                  <c:v>03-06-2024</c:v>
                </c:pt>
                <c:pt idx="6">
                  <c:v>04-11-2024</c:v>
                </c:pt>
                <c:pt idx="7">
                  <c:v>05-05-2025</c:v>
                </c:pt>
                <c:pt idx="8">
                  <c:v>05-08-2024</c:v>
                </c:pt>
                <c:pt idx="9">
                  <c:v>06-01-2025</c:v>
                </c:pt>
                <c:pt idx="10">
                  <c:v>07-04-2025</c:v>
                </c:pt>
                <c:pt idx="11">
                  <c:v>07-10-2024</c:v>
                </c:pt>
                <c:pt idx="12">
                  <c:v>08-07-2024</c:v>
                </c:pt>
                <c:pt idx="13">
                  <c:v>09-09-2024</c:v>
                </c:pt>
                <c:pt idx="14">
                  <c:v>09-12-2024</c:v>
                </c:pt>
                <c:pt idx="15">
                  <c:v>10-02-2025</c:v>
                </c:pt>
                <c:pt idx="16">
                  <c:v>10-03-2025</c:v>
                </c:pt>
                <c:pt idx="17">
                  <c:v>10-06-2024</c:v>
                </c:pt>
                <c:pt idx="18">
                  <c:v>11-11-2024</c:v>
                </c:pt>
                <c:pt idx="19">
                  <c:v>12-05-2025</c:v>
                </c:pt>
                <c:pt idx="20">
                  <c:v>12-08-2024</c:v>
                </c:pt>
                <c:pt idx="21">
                  <c:v>13-01-2025</c:v>
                </c:pt>
                <c:pt idx="22">
                  <c:v>14-04-2025</c:v>
                </c:pt>
                <c:pt idx="23">
                  <c:v>14-10-2024</c:v>
                </c:pt>
                <c:pt idx="24">
                  <c:v>15-07-2024</c:v>
                </c:pt>
                <c:pt idx="25">
                  <c:v>16-09-2024</c:v>
                </c:pt>
                <c:pt idx="26">
                  <c:v>16-12-2024</c:v>
                </c:pt>
                <c:pt idx="27">
                  <c:v>17-02-2025</c:v>
                </c:pt>
                <c:pt idx="28">
                  <c:v>17-03-2025</c:v>
                </c:pt>
                <c:pt idx="29">
                  <c:v>17-06-2024</c:v>
                </c:pt>
                <c:pt idx="30">
                  <c:v>18-11-2024</c:v>
                </c:pt>
                <c:pt idx="31">
                  <c:v>19-08-2024</c:v>
                </c:pt>
                <c:pt idx="32">
                  <c:v>20-01-2025</c:v>
                </c:pt>
                <c:pt idx="33">
                  <c:v>21-04-2025</c:v>
                </c:pt>
                <c:pt idx="34">
                  <c:v>21-10-2024</c:v>
                </c:pt>
                <c:pt idx="35">
                  <c:v>22-07-2024</c:v>
                </c:pt>
                <c:pt idx="36">
                  <c:v>23-09-2024</c:v>
                </c:pt>
                <c:pt idx="37">
                  <c:v>23-12-2024</c:v>
                </c:pt>
                <c:pt idx="38">
                  <c:v>24-02-2025</c:v>
                </c:pt>
                <c:pt idx="39">
                  <c:v>24-03-2025</c:v>
                </c:pt>
                <c:pt idx="40">
                  <c:v>24-06-2024</c:v>
                </c:pt>
                <c:pt idx="41">
                  <c:v>25-11-2024</c:v>
                </c:pt>
                <c:pt idx="42">
                  <c:v>26-08-2024</c:v>
                </c:pt>
                <c:pt idx="43">
                  <c:v>27-01-2025</c:v>
                </c:pt>
                <c:pt idx="44">
                  <c:v>28-04-2025</c:v>
                </c:pt>
                <c:pt idx="45">
                  <c:v>28-10-2024</c:v>
                </c:pt>
                <c:pt idx="46">
                  <c:v>29-07-2024</c:v>
                </c:pt>
                <c:pt idx="47">
                  <c:v>30-09-2024</c:v>
                </c:pt>
                <c:pt idx="48">
                  <c:v>30-12-2024</c:v>
                </c:pt>
                <c:pt idx="49">
                  <c:v>31-03-2025</c:v>
                </c:pt>
              </c:strCache>
            </c:strRef>
          </c:cat>
          <c:val>
            <c:numRef>
              <c:f>'Task 6'!$N$6:$N$56</c:f>
              <c:numCache>
                <c:formatCode>General</c:formatCode>
                <c:ptCount val="50"/>
                <c:pt idx="0">
                  <c:v>91</c:v>
                </c:pt>
                <c:pt idx="1">
                  <c:v>333</c:v>
                </c:pt>
                <c:pt idx="2">
                  <c:v>291</c:v>
                </c:pt>
                <c:pt idx="3">
                  <c:v>-203</c:v>
                </c:pt>
                <c:pt idx="4">
                  <c:v>315</c:v>
                </c:pt>
                <c:pt idx="5">
                  <c:v>1090</c:v>
                </c:pt>
                <c:pt idx="6">
                  <c:v>1044</c:v>
                </c:pt>
                <c:pt idx="7">
                  <c:v>864</c:v>
                </c:pt>
                <c:pt idx="8">
                  <c:v>319</c:v>
                </c:pt>
                <c:pt idx="9">
                  <c:v>846</c:v>
                </c:pt>
                <c:pt idx="10">
                  <c:v>209</c:v>
                </c:pt>
                <c:pt idx="11">
                  <c:v>118</c:v>
                </c:pt>
                <c:pt idx="12">
                  <c:v>514</c:v>
                </c:pt>
                <c:pt idx="13">
                  <c:v>1100</c:v>
                </c:pt>
                <c:pt idx="14">
                  <c:v>573</c:v>
                </c:pt>
                <c:pt idx="15">
                  <c:v>1444</c:v>
                </c:pt>
                <c:pt idx="16">
                  <c:v>1242</c:v>
                </c:pt>
                <c:pt idx="17">
                  <c:v>994</c:v>
                </c:pt>
                <c:pt idx="18">
                  <c:v>349</c:v>
                </c:pt>
                <c:pt idx="19">
                  <c:v>-337</c:v>
                </c:pt>
                <c:pt idx="20">
                  <c:v>1032</c:v>
                </c:pt>
                <c:pt idx="21">
                  <c:v>901</c:v>
                </c:pt>
                <c:pt idx="22">
                  <c:v>145</c:v>
                </c:pt>
                <c:pt idx="23">
                  <c:v>367</c:v>
                </c:pt>
                <c:pt idx="24">
                  <c:v>160</c:v>
                </c:pt>
                <c:pt idx="25">
                  <c:v>-32</c:v>
                </c:pt>
                <c:pt idx="26">
                  <c:v>876</c:v>
                </c:pt>
                <c:pt idx="27">
                  <c:v>1175</c:v>
                </c:pt>
                <c:pt idx="28">
                  <c:v>1385</c:v>
                </c:pt>
                <c:pt idx="29">
                  <c:v>337</c:v>
                </c:pt>
                <c:pt idx="30">
                  <c:v>60</c:v>
                </c:pt>
                <c:pt idx="31">
                  <c:v>190</c:v>
                </c:pt>
                <c:pt idx="32">
                  <c:v>724</c:v>
                </c:pt>
                <c:pt idx="33">
                  <c:v>1633</c:v>
                </c:pt>
                <c:pt idx="34">
                  <c:v>1484</c:v>
                </c:pt>
                <c:pt idx="35">
                  <c:v>317</c:v>
                </c:pt>
                <c:pt idx="36">
                  <c:v>1006</c:v>
                </c:pt>
                <c:pt idx="37">
                  <c:v>1589</c:v>
                </c:pt>
                <c:pt idx="38">
                  <c:v>1016</c:v>
                </c:pt>
                <c:pt idx="39">
                  <c:v>389</c:v>
                </c:pt>
                <c:pt idx="40">
                  <c:v>-123</c:v>
                </c:pt>
                <c:pt idx="41">
                  <c:v>885</c:v>
                </c:pt>
                <c:pt idx="42">
                  <c:v>28</c:v>
                </c:pt>
                <c:pt idx="43">
                  <c:v>1225</c:v>
                </c:pt>
                <c:pt idx="44">
                  <c:v>637</c:v>
                </c:pt>
                <c:pt idx="45">
                  <c:v>1657</c:v>
                </c:pt>
                <c:pt idx="46">
                  <c:v>475</c:v>
                </c:pt>
                <c:pt idx="47">
                  <c:v>1706</c:v>
                </c:pt>
                <c:pt idx="48">
                  <c:v>1460</c:v>
                </c:pt>
                <c:pt idx="49">
                  <c:v>1467</c:v>
                </c:pt>
              </c:numCache>
            </c:numRef>
          </c:val>
          <c:smooth val="0"/>
          <c:extLst>
            <c:ext xmlns:c16="http://schemas.microsoft.com/office/drawing/2014/chart" uri="{C3380CC4-5D6E-409C-BE32-E72D297353CC}">
              <c16:uniqueId val="{00000003-5CAC-4184-9377-56C0FA694F2B}"/>
            </c:ext>
          </c:extLst>
        </c:ser>
        <c:dLbls>
          <c:showLegendKey val="0"/>
          <c:showVal val="0"/>
          <c:showCatName val="0"/>
          <c:showSerName val="0"/>
          <c:showPercent val="0"/>
          <c:showBubbleSize val="0"/>
        </c:dLbls>
        <c:marker val="1"/>
        <c:smooth val="0"/>
        <c:axId val="169131663"/>
        <c:axId val="50185807"/>
      </c:lineChart>
      <c:catAx>
        <c:axId val="169131663"/>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r>
                  <a:rPr lang="en-US"/>
                  <a:t>Week_Start_Date</a:t>
                </a:r>
              </a:p>
            </c:rich>
          </c:tx>
          <c:layout>
            <c:manualLayout>
              <c:xMode val="edge"/>
              <c:yMode val="edge"/>
              <c:x val="0.36590157480314961"/>
              <c:y val="0.86237305253707897"/>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50185807"/>
        <c:crosses val="autoZero"/>
        <c:auto val="0"/>
        <c:lblAlgn val="ctr"/>
        <c:lblOffset val="100"/>
        <c:noMultiLvlLbl val="0"/>
      </c:catAx>
      <c:valAx>
        <c:axId val="50185807"/>
        <c:scaling>
          <c:orientation val="minMax"/>
        </c:scaling>
        <c:delete val="0"/>
        <c:axPos val="l"/>
        <c:title>
          <c:tx>
            <c:rich>
              <a:bodyPr rot="-54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r>
                  <a:rPr lang="en-IN"/>
                  <a:t>Net_Follower_Growth</a:t>
                </a:r>
              </a:p>
            </c:rich>
          </c:tx>
          <c:layout>
            <c:manualLayout>
              <c:xMode val="edge"/>
              <c:yMode val="edge"/>
              <c:x val="3.0555555555555555E-2"/>
              <c:y val="0.34007019906359687"/>
            </c:manualLayout>
          </c:layout>
          <c:overlay val="0"/>
          <c:spPr>
            <a:noFill/>
            <a:ln>
              <a:noFill/>
            </a:ln>
            <a:effectLst/>
          </c:spPr>
          <c:txPr>
            <a:bodyPr rot="-54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691316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Add Spend Vs Follower Growth</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lotArea>
      <c:layout/>
      <c:scatterChart>
        <c:scatterStyle val="lineMarker"/>
        <c:varyColors val="0"/>
        <c:ser>
          <c:idx val="0"/>
          <c:order val="0"/>
          <c:tx>
            <c:strRef>
              <c:f>'Task 6'!$H$1</c:f>
              <c:strCache>
                <c:ptCount val="1"/>
                <c:pt idx="0">
                  <c:v>Net growth</c:v>
                </c:pt>
              </c:strCache>
            </c:strRef>
          </c:tx>
          <c:spPr>
            <a:ln w="25400" cap="rnd">
              <a:noFill/>
            </a:ln>
            <a:effectLst>
              <a:glow rad="139700">
                <a:schemeClr val="accent1">
                  <a:satMod val="175000"/>
                  <a:alpha val="14000"/>
                </a:schemeClr>
              </a:glow>
            </a:effectLst>
          </c:spPr>
          <c:marker>
            <c:symbol val="circle"/>
            <c:size val="3"/>
            <c:spPr>
              <a:solidFill>
                <a:schemeClr val="accent1">
                  <a:lumMod val="60000"/>
                  <a:lumOff val="40000"/>
                </a:schemeClr>
              </a:solidFill>
              <a:ln>
                <a:noFill/>
              </a:ln>
              <a:effectLst>
                <a:glow rad="63500">
                  <a:schemeClr val="accent1">
                    <a:satMod val="175000"/>
                    <a:alpha val="25000"/>
                  </a:schemeClr>
                </a:glow>
              </a:effectLst>
            </c:spPr>
          </c:marker>
          <c:trendline>
            <c:spPr>
              <a:ln w="25400" cap="rnd">
                <a:solidFill>
                  <a:schemeClr val="accent1">
                    <a:alpha val="50000"/>
                  </a:schemeClr>
                </a:solidFill>
              </a:ln>
              <a:effectLst/>
            </c:spPr>
            <c:trendlineType val="linear"/>
            <c:dispRSqr val="0"/>
            <c:dispEq val="0"/>
          </c:trendline>
          <c:xVal>
            <c:numRef>
              <c:f>'Task 6'!$G$2:$G$201</c:f>
              <c:numCache>
                <c:formatCode>General</c:formatCode>
                <c:ptCount val="200"/>
                <c:pt idx="0">
                  <c:v>49772</c:v>
                </c:pt>
                <c:pt idx="1">
                  <c:v>49558</c:v>
                </c:pt>
                <c:pt idx="2">
                  <c:v>49400</c:v>
                </c:pt>
                <c:pt idx="3">
                  <c:v>49372</c:v>
                </c:pt>
                <c:pt idx="4">
                  <c:v>49303</c:v>
                </c:pt>
                <c:pt idx="5">
                  <c:v>49077</c:v>
                </c:pt>
                <c:pt idx="6">
                  <c:v>48419</c:v>
                </c:pt>
                <c:pt idx="7">
                  <c:v>48270</c:v>
                </c:pt>
                <c:pt idx="8">
                  <c:v>47812</c:v>
                </c:pt>
                <c:pt idx="9">
                  <c:v>47603</c:v>
                </c:pt>
                <c:pt idx="10">
                  <c:v>47502</c:v>
                </c:pt>
                <c:pt idx="11">
                  <c:v>47462</c:v>
                </c:pt>
                <c:pt idx="12">
                  <c:v>47101</c:v>
                </c:pt>
                <c:pt idx="13">
                  <c:v>46670</c:v>
                </c:pt>
                <c:pt idx="14">
                  <c:v>46643</c:v>
                </c:pt>
                <c:pt idx="15">
                  <c:v>46625</c:v>
                </c:pt>
                <c:pt idx="16">
                  <c:v>45708</c:v>
                </c:pt>
                <c:pt idx="17">
                  <c:v>45380</c:v>
                </c:pt>
                <c:pt idx="18">
                  <c:v>44321</c:v>
                </c:pt>
                <c:pt idx="19">
                  <c:v>44097</c:v>
                </c:pt>
                <c:pt idx="20">
                  <c:v>43999</c:v>
                </c:pt>
                <c:pt idx="21">
                  <c:v>43836</c:v>
                </c:pt>
                <c:pt idx="22">
                  <c:v>43420</c:v>
                </c:pt>
                <c:pt idx="23">
                  <c:v>43122</c:v>
                </c:pt>
                <c:pt idx="24">
                  <c:v>42964</c:v>
                </c:pt>
                <c:pt idx="25">
                  <c:v>42832</c:v>
                </c:pt>
                <c:pt idx="26">
                  <c:v>42824</c:v>
                </c:pt>
                <c:pt idx="27">
                  <c:v>42307</c:v>
                </c:pt>
                <c:pt idx="28">
                  <c:v>41215</c:v>
                </c:pt>
                <c:pt idx="29">
                  <c:v>40888</c:v>
                </c:pt>
                <c:pt idx="30">
                  <c:v>40868</c:v>
                </c:pt>
                <c:pt idx="31">
                  <c:v>40478</c:v>
                </c:pt>
                <c:pt idx="32">
                  <c:v>40323</c:v>
                </c:pt>
                <c:pt idx="33">
                  <c:v>39997</c:v>
                </c:pt>
                <c:pt idx="34">
                  <c:v>39931</c:v>
                </c:pt>
                <c:pt idx="35">
                  <c:v>39923</c:v>
                </c:pt>
                <c:pt idx="36">
                  <c:v>39530</c:v>
                </c:pt>
                <c:pt idx="37">
                  <c:v>39272</c:v>
                </c:pt>
                <c:pt idx="38">
                  <c:v>39031</c:v>
                </c:pt>
                <c:pt idx="39">
                  <c:v>38883</c:v>
                </c:pt>
                <c:pt idx="40">
                  <c:v>38610</c:v>
                </c:pt>
                <c:pt idx="41">
                  <c:v>38452</c:v>
                </c:pt>
                <c:pt idx="42">
                  <c:v>37903</c:v>
                </c:pt>
                <c:pt idx="43">
                  <c:v>37876</c:v>
                </c:pt>
                <c:pt idx="44">
                  <c:v>37829</c:v>
                </c:pt>
                <c:pt idx="45">
                  <c:v>37636</c:v>
                </c:pt>
                <c:pt idx="46">
                  <c:v>37132</c:v>
                </c:pt>
                <c:pt idx="47">
                  <c:v>36851</c:v>
                </c:pt>
                <c:pt idx="48">
                  <c:v>36484</c:v>
                </c:pt>
                <c:pt idx="49">
                  <c:v>36397</c:v>
                </c:pt>
                <c:pt idx="50">
                  <c:v>36103</c:v>
                </c:pt>
                <c:pt idx="51">
                  <c:v>36095</c:v>
                </c:pt>
                <c:pt idx="52">
                  <c:v>35801</c:v>
                </c:pt>
                <c:pt idx="53">
                  <c:v>35501</c:v>
                </c:pt>
                <c:pt idx="54">
                  <c:v>35359</c:v>
                </c:pt>
                <c:pt idx="55">
                  <c:v>33799</c:v>
                </c:pt>
                <c:pt idx="56">
                  <c:v>33381</c:v>
                </c:pt>
                <c:pt idx="57">
                  <c:v>33258</c:v>
                </c:pt>
                <c:pt idx="58">
                  <c:v>33174</c:v>
                </c:pt>
                <c:pt idx="59">
                  <c:v>32929</c:v>
                </c:pt>
                <c:pt idx="60">
                  <c:v>32763</c:v>
                </c:pt>
                <c:pt idx="61">
                  <c:v>32500</c:v>
                </c:pt>
                <c:pt idx="62">
                  <c:v>32478</c:v>
                </c:pt>
                <c:pt idx="63">
                  <c:v>32393</c:v>
                </c:pt>
                <c:pt idx="64">
                  <c:v>31853</c:v>
                </c:pt>
                <c:pt idx="65">
                  <c:v>31280</c:v>
                </c:pt>
                <c:pt idx="66">
                  <c:v>30987</c:v>
                </c:pt>
                <c:pt idx="67">
                  <c:v>30671</c:v>
                </c:pt>
                <c:pt idx="68">
                  <c:v>30635</c:v>
                </c:pt>
                <c:pt idx="69">
                  <c:v>30575</c:v>
                </c:pt>
                <c:pt idx="70">
                  <c:v>30428</c:v>
                </c:pt>
                <c:pt idx="71">
                  <c:v>30270</c:v>
                </c:pt>
                <c:pt idx="72">
                  <c:v>30214</c:v>
                </c:pt>
                <c:pt idx="73">
                  <c:v>30060</c:v>
                </c:pt>
                <c:pt idx="74">
                  <c:v>29533</c:v>
                </c:pt>
                <c:pt idx="75">
                  <c:v>29116</c:v>
                </c:pt>
                <c:pt idx="76">
                  <c:v>28498</c:v>
                </c:pt>
                <c:pt idx="77">
                  <c:v>28474</c:v>
                </c:pt>
                <c:pt idx="78">
                  <c:v>27822</c:v>
                </c:pt>
                <c:pt idx="79">
                  <c:v>26925</c:v>
                </c:pt>
                <c:pt idx="80">
                  <c:v>26752</c:v>
                </c:pt>
                <c:pt idx="81">
                  <c:v>26663</c:v>
                </c:pt>
                <c:pt idx="82">
                  <c:v>26455</c:v>
                </c:pt>
                <c:pt idx="83">
                  <c:v>26452</c:v>
                </c:pt>
                <c:pt idx="84">
                  <c:v>26103</c:v>
                </c:pt>
                <c:pt idx="85">
                  <c:v>26067</c:v>
                </c:pt>
                <c:pt idx="86">
                  <c:v>25920</c:v>
                </c:pt>
                <c:pt idx="87">
                  <c:v>25797</c:v>
                </c:pt>
                <c:pt idx="88">
                  <c:v>25525</c:v>
                </c:pt>
                <c:pt idx="89">
                  <c:v>25140</c:v>
                </c:pt>
                <c:pt idx="90">
                  <c:v>24913</c:v>
                </c:pt>
                <c:pt idx="91">
                  <c:v>24494</c:v>
                </c:pt>
                <c:pt idx="92">
                  <c:v>24384</c:v>
                </c:pt>
                <c:pt idx="93">
                  <c:v>24313</c:v>
                </c:pt>
                <c:pt idx="94">
                  <c:v>24018</c:v>
                </c:pt>
                <c:pt idx="95">
                  <c:v>23853</c:v>
                </c:pt>
                <c:pt idx="96">
                  <c:v>23489</c:v>
                </c:pt>
                <c:pt idx="97">
                  <c:v>23461</c:v>
                </c:pt>
                <c:pt idx="98">
                  <c:v>23140</c:v>
                </c:pt>
                <c:pt idx="99">
                  <c:v>22996</c:v>
                </c:pt>
                <c:pt idx="100">
                  <c:v>22728</c:v>
                </c:pt>
                <c:pt idx="101">
                  <c:v>22724</c:v>
                </c:pt>
                <c:pt idx="102">
                  <c:v>22713</c:v>
                </c:pt>
                <c:pt idx="103">
                  <c:v>22482</c:v>
                </c:pt>
                <c:pt idx="104">
                  <c:v>22373</c:v>
                </c:pt>
                <c:pt idx="105">
                  <c:v>22206</c:v>
                </c:pt>
                <c:pt idx="106">
                  <c:v>21939</c:v>
                </c:pt>
                <c:pt idx="107">
                  <c:v>21539</c:v>
                </c:pt>
                <c:pt idx="108">
                  <c:v>21453</c:v>
                </c:pt>
                <c:pt idx="109">
                  <c:v>21208</c:v>
                </c:pt>
                <c:pt idx="110">
                  <c:v>21205</c:v>
                </c:pt>
                <c:pt idx="111">
                  <c:v>21061</c:v>
                </c:pt>
                <c:pt idx="112">
                  <c:v>20861</c:v>
                </c:pt>
                <c:pt idx="113">
                  <c:v>20733</c:v>
                </c:pt>
                <c:pt idx="114">
                  <c:v>20692</c:v>
                </c:pt>
                <c:pt idx="115">
                  <c:v>20560</c:v>
                </c:pt>
                <c:pt idx="116">
                  <c:v>20553</c:v>
                </c:pt>
                <c:pt idx="117">
                  <c:v>20059</c:v>
                </c:pt>
                <c:pt idx="118">
                  <c:v>20042</c:v>
                </c:pt>
                <c:pt idx="119">
                  <c:v>19119</c:v>
                </c:pt>
                <c:pt idx="120">
                  <c:v>18693</c:v>
                </c:pt>
                <c:pt idx="121">
                  <c:v>18656</c:v>
                </c:pt>
                <c:pt idx="122">
                  <c:v>18601</c:v>
                </c:pt>
                <c:pt idx="123">
                  <c:v>18050</c:v>
                </c:pt>
                <c:pt idx="124">
                  <c:v>18001</c:v>
                </c:pt>
                <c:pt idx="125">
                  <c:v>17951</c:v>
                </c:pt>
                <c:pt idx="126">
                  <c:v>17328</c:v>
                </c:pt>
                <c:pt idx="127">
                  <c:v>16804</c:v>
                </c:pt>
                <c:pt idx="128">
                  <c:v>16443</c:v>
                </c:pt>
                <c:pt idx="129">
                  <c:v>16149</c:v>
                </c:pt>
                <c:pt idx="130">
                  <c:v>15969</c:v>
                </c:pt>
                <c:pt idx="131">
                  <c:v>15827</c:v>
                </c:pt>
                <c:pt idx="132">
                  <c:v>15476</c:v>
                </c:pt>
                <c:pt idx="133">
                  <c:v>15353</c:v>
                </c:pt>
                <c:pt idx="134">
                  <c:v>15071</c:v>
                </c:pt>
                <c:pt idx="135">
                  <c:v>15045</c:v>
                </c:pt>
                <c:pt idx="136">
                  <c:v>14722</c:v>
                </c:pt>
                <c:pt idx="137">
                  <c:v>14548</c:v>
                </c:pt>
                <c:pt idx="138">
                  <c:v>14216</c:v>
                </c:pt>
                <c:pt idx="139">
                  <c:v>14203</c:v>
                </c:pt>
                <c:pt idx="140">
                  <c:v>14154</c:v>
                </c:pt>
                <c:pt idx="141">
                  <c:v>14090</c:v>
                </c:pt>
                <c:pt idx="142">
                  <c:v>14068</c:v>
                </c:pt>
                <c:pt idx="143">
                  <c:v>13316</c:v>
                </c:pt>
                <c:pt idx="144">
                  <c:v>13116</c:v>
                </c:pt>
                <c:pt idx="145">
                  <c:v>12646</c:v>
                </c:pt>
                <c:pt idx="146">
                  <c:v>12384</c:v>
                </c:pt>
                <c:pt idx="147">
                  <c:v>12350</c:v>
                </c:pt>
                <c:pt idx="148">
                  <c:v>12174</c:v>
                </c:pt>
                <c:pt idx="149">
                  <c:v>12148</c:v>
                </c:pt>
                <c:pt idx="150">
                  <c:v>11901</c:v>
                </c:pt>
                <c:pt idx="151">
                  <c:v>11805</c:v>
                </c:pt>
                <c:pt idx="152">
                  <c:v>11383</c:v>
                </c:pt>
                <c:pt idx="153">
                  <c:v>11329</c:v>
                </c:pt>
                <c:pt idx="154">
                  <c:v>11035</c:v>
                </c:pt>
                <c:pt idx="155">
                  <c:v>10825</c:v>
                </c:pt>
                <c:pt idx="156">
                  <c:v>10740</c:v>
                </c:pt>
                <c:pt idx="157">
                  <c:v>10283</c:v>
                </c:pt>
                <c:pt idx="158">
                  <c:v>10217</c:v>
                </c:pt>
                <c:pt idx="159">
                  <c:v>10002</c:v>
                </c:pt>
                <c:pt idx="160">
                  <c:v>9942</c:v>
                </c:pt>
                <c:pt idx="161">
                  <c:v>9920</c:v>
                </c:pt>
                <c:pt idx="162">
                  <c:v>9566</c:v>
                </c:pt>
                <c:pt idx="163">
                  <c:v>9566</c:v>
                </c:pt>
                <c:pt idx="164">
                  <c:v>9480</c:v>
                </c:pt>
                <c:pt idx="165">
                  <c:v>9269</c:v>
                </c:pt>
                <c:pt idx="166">
                  <c:v>9118</c:v>
                </c:pt>
                <c:pt idx="167">
                  <c:v>8912</c:v>
                </c:pt>
                <c:pt idx="168">
                  <c:v>8718</c:v>
                </c:pt>
                <c:pt idx="169">
                  <c:v>8471</c:v>
                </c:pt>
                <c:pt idx="170">
                  <c:v>7924</c:v>
                </c:pt>
                <c:pt idx="171">
                  <c:v>7875</c:v>
                </c:pt>
                <c:pt idx="172">
                  <c:v>7705</c:v>
                </c:pt>
                <c:pt idx="173">
                  <c:v>7541</c:v>
                </c:pt>
                <c:pt idx="174">
                  <c:v>7285</c:v>
                </c:pt>
                <c:pt idx="175">
                  <c:v>6915</c:v>
                </c:pt>
                <c:pt idx="176">
                  <c:v>6832</c:v>
                </c:pt>
                <c:pt idx="177">
                  <c:v>6742</c:v>
                </c:pt>
                <c:pt idx="178">
                  <c:v>6296</c:v>
                </c:pt>
                <c:pt idx="179">
                  <c:v>5914</c:v>
                </c:pt>
                <c:pt idx="180">
                  <c:v>5904</c:v>
                </c:pt>
                <c:pt idx="181">
                  <c:v>5442</c:v>
                </c:pt>
                <c:pt idx="182">
                  <c:v>5391</c:v>
                </c:pt>
                <c:pt idx="183">
                  <c:v>4996</c:v>
                </c:pt>
                <c:pt idx="184">
                  <c:v>4839</c:v>
                </c:pt>
                <c:pt idx="185">
                  <c:v>4683</c:v>
                </c:pt>
                <c:pt idx="186">
                  <c:v>4509</c:v>
                </c:pt>
                <c:pt idx="187">
                  <c:v>4313</c:v>
                </c:pt>
                <c:pt idx="188">
                  <c:v>4007</c:v>
                </c:pt>
                <c:pt idx="189">
                  <c:v>3582</c:v>
                </c:pt>
                <c:pt idx="190">
                  <c:v>3455</c:v>
                </c:pt>
                <c:pt idx="191">
                  <c:v>3314</c:v>
                </c:pt>
                <c:pt idx="192">
                  <c:v>2932</c:v>
                </c:pt>
                <c:pt idx="193">
                  <c:v>2798</c:v>
                </c:pt>
                <c:pt idx="194">
                  <c:v>2436</c:v>
                </c:pt>
                <c:pt idx="195">
                  <c:v>2315</c:v>
                </c:pt>
                <c:pt idx="196">
                  <c:v>2293</c:v>
                </c:pt>
                <c:pt idx="197">
                  <c:v>1810</c:v>
                </c:pt>
                <c:pt idx="198">
                  <c:v>1783</c:v>
                </c:pt>
                <c:pt idx="199">
                  <c:v>1083</c:v>
                </c:pt>
              </c:numCache>
            </c:numRef>
          </c:xVal>
          <c:yVal>
            <c:numRef>
              <c:f>'Task 6'!$H$2:$H$201</c:f>
              <c:numCache>
                <c:formatCode>General</c:formatCode>
                <c:ptCount val="200"/>
                <c:pt idx="0">
                  <c:v>1375</c:v>
                </c:pt>
                <c:pt idx="1">
                  <c:v>876</c:v>
                </c:pt>
                <c:pt idx="2">
                  <c:v>407</c:v>
                </c:pt>
                <c:pt idx="3">
                  <c:v>319</c:v>
                </c:pt>
                <c:pt idx="4">
                  <c:v>352</c:v>
                </c:pt>
                <c:pt idx="5">
                  <c:v>461</c:v>
                </c:pt>
                <c:pt idx="6">
                  <c:v>339</c:v>
                </c:pt>
                <c:pt idx="7">
                  <c:v>569</c:v>
                </c:pt>
                <c:pt idx="8">
                  <c:v>902</c:v>
                </c:pt>
                <c:pt idx="9">
                  <c:v>1029</c:v>
                </c:pt>
                <c:pt idx="10">
                  <c:v>730</c:v>
                </c:pt>
                <c:pt idx="11">
                  <c:v>98</c:v>
                </c:pt>
                <c:pt idx="12">
                  <c:v>1325</c:v>
                </c:pt>
                <c:pt idx="13">
                  <c:v>1382</c:v>
                </c:pt>
                <c:pt idx="14">
                  <c:v>1657</c:v>
                </c:pt>
                <c:pt idx="15">
                  <c:v>573</c:v>
                </c:pt>
                <c:pt idx="16">
                  <c:v>298</c:v>
                </c:pt>
                <c:pt idx="17">
                  <c:v>891</c:v>
                </c:pt>
                <c:pt idx="18">
                  <c:v>1484</c:v>
                </c:pt>
                <c:pt idx="19">
                  <c:v>965</c:v>
                </c:pt>
                <c:pt idx="20">
                  <c:v>1225</c:v>
                </c:pt>
                <c:pt idx="21">
                  <c:v>1662</c:v>
                </c:pt>
                <c:pt idx="22">
                  <c:v>-164</c:v>
                </c:pt>
                <c:pt idx="23">
                  <c:v>1572</c:v>
                </c:pt>
                <c:pt idx="24">
                  <c:v>1007</c:v>
                </c:pt>
                <c:pt idx="25">
                  <c:v>1202</c:v>
                </c:pt>
                <c:pt idx="26">
                  <c:v>439</c:v>
                </c:pt>
                <c:pt idx="27">
                  <c:v>64</c:v>
                </c:pt>
                <c:pt idx="28">
                  <c:v>1872</c:v>
                </c:pt>
                <c:pt idx="29">
                  <c:v>291</c:v>
                </c:pt>
                <c:pt idx="30">
                  <c:v>901</c:v>
                </c:pt>
                <c:pt idx="31">
                  <c:v>1428</c:v>
                </c:pt>
                <c:pt idx="32">
                  <c:v>748</c:v>
                </c:pt>
                <c:pt idx="33">
                  <c:v>72</c:v>
                </c:pt>
                <c:pt idx="34">
                  <c:v>1460</c:v>
                </c:pt>
                <c:pt idx="35">
                  <c:v>209</c:v>
                </c:pt>
                <c:pt idx="36">
                  <c:v>98</c:v>
                </c:pt>
                <c:pt idx="37">
                  <c:v>1495</c:v>
                </c:pt>
                <c:pt idx="38">
                  <c:v>1016</c:v>
                </c:pt>
                <c:pt idx="39">
                  <c:v>1006</c:v>
                </c:pt>
                <c:pt idx="40">
                  <c:v>309</c:v>
                </c:pt>
                <c:pt idx="41">
                  <c:v>-106</c:v>
                </c:pt>
                <c:pt idx="42">
                  <c:v>1334</c:v>
                </c:pt>
                <c:pt idx="43">
                  <c:v>885</c:v>
                </c:pt>
                <c:pt idx="44">
                  <c:v>1247</c:v>
                </c:pt>
                <c:pt idx="45">
                  <c:v>-37</c:v>
                </c:pt>
                <c:pt idx="46">
                  <c:v>903</c:v>
                </c:pt>
                <c:pt idx="47">
                  <c:v>1706</c:v>
                </c:pt>
                <c:pt idx="48">
                  <c:v>1397</c:v>
                </c:pt>
                <c:pt idx="49">
                  <c:v>1224</c:v>
                </c:pt>
                <c:pt idx="50">
                  <c:v>1625</c:v>
                </c:pt>
                <c:pt idx="51">
                  <c:v>1603</c:v>
                </c:pt>
                <c:pt idx="52">
                  <c:v>1385</c:v>
                </c:pt>
                <c:pt idx="53">
                  <c:v>76</c:v>
                </c:pt>
                <c:pt idx="54">
                  <c:v>911</c:v>
                </c:pt>
                <c:pt idx="55">
                  <c:v>1315</c:v>
                </c:pt>
                <c:pt idx="56">
                  <c:v>1881</c:v>
                </c:pt>
                <c:pt idx="57">
                  <c:v>37</c:v>
                </c:pt>
                <c:pt idx="58">
                  <c:v>-20</c:v>
                </c:pt>
                <c:pt idx="59">
                  <c:v>28</c:v>
                </c:pt>
                <c:pt idx="60">
                  <c:v>1316</c:v>
                </c:pt>
                <c:pt idx="61">
                  <c:v>948</c:v>
                </c:pt>
                <c:pt idx="62">
                  <c:v>262</c:v>
                </c:pt>
                <c:pt idx="63">
                  <c:v>429</c:v>
                </c:pt>
                <c:pt idx="64">
                  <c:v>1590</c:v>
                </c:pt>
                <c:pt idx="65">
                  <c:v>835</c:v>
                </c:pt>
                <c:pt idx="66">
                  <c:v>315</c:v>
                </c:pt>
                <c:pt idx="67">
                  <c:v>1090</c:v>
                </c:pt>
                <c:pt idx="68">
                  <c:v>1670</c:v>
                </c:pt>
                <c:pt idx="69">
                  <c:v>1025</c:v>
                </c:pt>
                <c:pt idx="70">
                  <c:v>1150</c:v>
                </c:pt>
                <c:pt idx="71">
                  <c:v>1125</c:v>
                </c:pt>
                <c:pt idx="72">
                  <c:v>386</c:v>
                </c:pt>
                <c:pt idx="73">
                  <c:v>91</c:v>
                </c:pt>
                <c:pt idx="74">
                  <c:v>-49</c:v>
                </c:pt>
                <c:pt idx="75">
                  <c:v>1116</c:v>
                </c:pt>
                <c:pt idx="76">
                  <c:v>1332</c:v>
                </c:pt>
                <c:pt idx="77">
                  <c:v>160</c:v>
                </c:pt>
                <c:pt idx="78">
                  <c:v>118</c:v>
                </c:pt>
                <c:pt idx="79">
                  <c:v>37</c:v>
                </c:pt>
                <c:pt idx="80">
                  <c:v>415</c:v>
                </c:pt>
                <c:pt idx="81">
                  <c:v>1572</c:v>
                </c:pt>
                <c:pt idx="82">
                  <c:v>-197</c:v>
                </c:pt>
                <c:pt idx="83">
                  <c:v>317</c:v>
                </c:pt>
                <c:pt idx="84">
                  <c:v>1706</c:v>
                </c:pt>
                <c:pt idx="85">
                  <c:v>961</c:v>
                </c:pt>
                <c:pt idx="86">
                  <c:v>-175</c:v>
                </c:pt>
                <c:pt idx="87">
                  <c:v>197</c:v>
                </c:pt>
                <c:pt idx="88">
                  <c:v>-166</c:v>
                </c:pt>
                <c:pt idx="89">
                  <c:v>1776</c:v>
                </c:pt>
                <c:pt idx="90">
                  <c:v>1609</c:v>
                </c:pt>
                <c:pt idx="91">
                  <c:v>1444</c:v>
                </c:pt>
                <c:pt idx="92">
                  <c:v>1045</c:v>
                </c:pt>
                <c:pt idx="93">
                  <c:v>337</c:v>
                </c:pt>
                <c:pt idx="94">
                  <c:v>1680</c:v>
                </c:pt>
                <c:pt idx="95">
                  <c:v>427</c:v>
                </c:pt>
                <c:pt idx="96">
                  <c:v>912</c:v>
                </c:pt>
                <c:pt idx="97">
                  <c:v>514</c:v>
                </c:pt>
                <c:pt idx="98">
                  <c:v>641</c:v>
                </c:pt>
                <c:pt idx="99">
                  <c:v>1175</c:v>
                </c:pt>
                <c:pt idx="100">
                  <c:v>1672</c:v>
                </c:pt>
                <c:pt idx="101">
                  <c:v>1119</c:v>
                </c:pt>
                <c:pt idx="102">
                  <c:v>1707</c:v>
                </c:pt>
                <c:pt idx="103">
                  <c:v>1295</c:v>
                </c:pt>
                <c:pt idx="104">
                  <c:v>60</c:v>
                </c:pt>
                <c:pt idx="105">
                  <c:v>1665</c:v>
                </c:pt>
                <c:pt idx="106">
                  <c:v>377</c:v>
                </c:pt>
                <c:pt idx="107">
                  <c:v>908</c:v>
                </c:pt>
                <c:pt idx="108">
                  <c:v>474</c:v>
                </c:pt>
                <c:pt idx="109">
                  <c:v>636</c:v>
                </c:pt>
                <c:pt idx="110">
                  <c:v>994</c:v>
                </c:pt>
                <c:pt idx="111">
                  <c:v>292</c:v>
                </c:pt>
                <c:pt idx="112">
                  <c:v>1727</c:v>
                </c:pt>
                <c:pt idx="113">
                  <c:v>145</c:v>
                </c:pt>
                <c:pt idx="114">
                  <c:v>1432</c:v>
                </c:pt>
                <c:pt idx="115">
                  <c:v>898</c:v>
                </c:pt>
                <c:pt idx="116">
                  <c:v>-119</c:v>
                </c:pt>
                <c:pt idx="117">
                  <c:v>389</c:v>
                </c:pt>
                <c:pt idx="118">
                  <c:v>1656</c:v>
                </c:pt>
                <c:pt idx="119">
                  <c:v>1426</c:v>
                </c:pt>
                <c:pt idx="120">
                  <c:v>603</c:v>
                </c:pt>
                <c:pt idx="121">
                  <c:v>1377</c:v>
                </c:pt>
                <c:pt idx="122">
                  <c:v>1373</c:v>
                </c:pt>
                <c:pt idx="123">
                  <c:v>629</c:v>
                </c:pt>
                <c:pt idx="124">
                  <c:v>-203</c:v>
                </c:pt>
                <c:pt idx="125">
                  <c:v>620</c:v>
                </c:pt>
                <c:pt idx="126">
                  <c:v>159</c:v>
                </c:pt>
                <c:pt idx="127">
                  <c:v>475</c:v>
                </c:pt>
                <c:pt idx="128">
                  <c:v>1044</c:v>
                </c:pt>
                <c:pt idx="129">
                  <c:v>1510</c:v>
                </c:pt>
                <c:pt idx="130">
                  <c:v>1467</c:v>
                </c:pt>
                <c:pt idx="131">
                  <c:v>37</c:v>
                </c:pt>
                <c:pt idx="132">
                  <c:v>260</c:v>
                </c:pt>
                <c:pt idx="133">
                  <c:v>541</c:v>
                </c:pt>
                <c:pt idx="134">
                  <c:v>514</c:v>
                </c:pt>
                <c:pt idx="135">
                  <c:v>846</c:v>
                </c:pt>
                <c:pt idx="136">
                  <c:v>1350</c:v>
                </c:pt>
                <c:pt idx="137">
                  <c:v>1722</c:v>
                </c:pt>
                <c:pt idx="138">
                  <c:v>1539</c:v>
                </c:pt>
                <c:pt idx="139">
                  <c:v>1058</c:v>
                </c:pt>
                <c:pt idx="140">
                  <c:v>1589</c:v>
                </c:pt>
                <c:pt idx="141">
                  <c:v>1633</c:v>
                </c:pt>
                <c:pt idx="142">
                  <c:v>861</c:v>
                </c:pt>
                <c:pt idx="143">
                  <c:v>1359</c:v>
                </c:pt>
                <c:pt idx="144">
                  <c:v>576</c:v>
                </c:pt>
                <c:pt idx="145">
                  <c:v>333</c:v>
                </c:pt>
                <c:pt idx="146">
                  <c:v>328</c:v>
                </c:pt>
                <c:pt idx="147">
                  <c:v>-144</c:v>
                </c:pt>
                <c:pt idx="148">
                  <c:v>-337</c:v>
                </c:pt>
                <c:pt idx="149">
                  <c:v>599</c:v>
                </c:pt>
                <c:pt idx="150">
                  <c:v>-19</c:v>
                </c:pt>
                <c:pt idx="151">
                  <c:v>1676</c:v>
                </c:pt>
                <c:pt idx="152">
                  <c:v>1242</c:v>
                </c:pt>
                <c:pt idx="153">
                  <c:v>893</c:v>
                </c:pt>
                <c:pt idx="154">
                  <c:v>53</c:v>
                </c:pt>
                <c:pt idx="155">
                  <c:v>1080</c:v>
                </c:pt>
                <c:pt idx="156">
                  <c:v>1845</c:v>
                </c:pt>
                <c:pt idx="157">
                  <c:v>190</c:v>
                </c:pt>
                <c:pt idx="158">
                  <c:v>1100</c:v>
                </c:pt>
                <c:pt idx="159">
                  <c:v>899</c:v>
                </c:pt>
                <c:pt idx="160">
                  <c:v>1229</c:v>
                </c:pt>
                <c:pt idx="161">
                  <c:v>517</c:v>
                </c:pt>
                <c:pt idx="162">
                  <c:v>1002</c:v>
                </c:pt>
                <c:pt idx="163">
                  <c:v>-219</c:v>
                </c:pt>
                <c:pt idx="164">
                  <c:v>680</c:v>
                </c:pt>
                <c:pt idx="165">
                  <c:v>349</c:v>
                </c:pt>
                <c:pt idx="166">
                  <c:v>1529</c:v>
                </c:pt>
                <c:pt idx="167">
                  <c:v>186</c:v>
                </c:pt>
                <c:pt idx="168">
                  <c:v>708</c:v>
                </c:pt>
                <c:pt idx="169">
                  <c:v>759</c:v>
                </c:pt>
                <c:pt idx="170">
                  <c:v>1283</c:v>
                </c:pt>
                <c:pt idx="171">
                  <c:v>1045</c:v>
                </c:pt>
                <c:pt idx="172">
                  <c:v>724</c:v>
                </c:pt>
                <c:pt idx="173">
                  <c:v>864</c:v>
                </c:pt>
                <c:pt idx="174">
                  <c:v>285</c:v>
                </c:pt>
                <c:pt idx="175">
                  <c:v>1032</c:v>
                </c:pt>
                <c:pt idx="176">
                  <c:v>637</c:v>
                </c:pt>
                <c:pt idx="177">
                  <c:v>367</c:v>
                </c:pt>
                <c:pt idx="178">
                  <c:v>212</c:v>
                </c:pt>
                <c:pt idx="179">
                  <c:v>1357</c:v>
                </c:pt>
                <c:pt idx="180">
                  <c:v>1047</c:v>
                </c:pt>
                <c:pt idx="181">
                  <c:v>-32</c:v>
                </c:pt>
                <c:pt idx="182">
                  <c:v>445</c:v>
                </c:pt>
                <c:pt idx="183">
                  <c:v>540</c:v>
                </c:pt>
                <c:pt idx="184">
                  <c:v>-318</c:v>
                </c:pt>
                <c:pt idx="185">
                  <c:v>684</c:v>
                </c:pt>
                <c:pt idx="186">
                  <c:v>107</c:v>
                </c:pt>
                <c:pt idx="187">
                  <c:v>1765</c:v>
                </c:pt>
                <c:pt idx="188">
                  <c:v>269</c:v>
                </c:pt>
                <c:pt idx="189">
                  <c:v>453</c:v>
                </c:pt>
                <c:pt idx="190">
                  <c:v>1173</c:v>
                </c:pt>
                <c:pt idx="191">
                  <c:v>1723</c:v>
                </c:pt>
                <c:pt idx="192">
                  <c:v>547</c:v>
                </c:pt>
                <c:pt idx="193">
                  <c:v>1188</c:v>
                </c:pt>
                <c:pt idx="194">
                  <c:v>167</c:v>
                </c:pt>
                <c:pt idx="195">
                  <c:v>-179</c:v>
                </c:pt>
                <c:pt idx="196">
                  <c:v>-160</c:v>
                </c:pt>
                <c:pt idx="197">
                  <c:v>1693</c:v>
                </c:pt>
                <c:pt idx="198">
                  <c:v>-123</c:v>
                </c:pt>
                <c:pt idx="199">
                  <c:v>666</c:v>
                </c:pt>
              </c:numCache>
            </c:numRef>
          </c:yVal>
          <c:smooth val="0"/>
          <c:extLst>
            <c:ext xmlns:c16="http://schemas.microsoft.com/office/drawing/2014/chart" uri="{C3380CC4-5D6E-409C-BE32-E72D297353CC}">
              <c16:uniqueId val="{00000000-3F00-4A7D-A0E0-3E8BD428DBD8}"/>
            </c:ext>
          </c:extLst>
        </c:ser>
        <c:dLbls>
          <c:showLegendKey val="0"/>
          <c:showVal val="0"/>
          <c:showCatName val="0"/>
          <c:showSerName val="0"/>
          <c:showPercent val="0"/>
          <c:showBubbleSize val="0"/>
        </c:dLbls>
        <c:axId val="267589567"/>
        <c:axId val="165383471"/>
      </c:scatterChart>
      <c:valAx>
        <c:axId val="267589567"/>
        <c:scaling>
          <c:orientation val="minMax"/>
        </c:scaling>
        <c:delete val="0"/>
        <c:axPos val="b"/>
        <c:majorGridlines>
          <c:spPr>
            <a:ln w="9525" cap="flat" cmpd="sng" algn="ctr">
              <a:solidFill>
                <a:schemeClr val="dk1">
                  <a:lumMod val="65000"/>
                  <a:lumOff val="35000"/>
                  <a:alpha val="75000"/>
                </a:schemeClr>
              </a:solidFill>
              <a:round/>
            </a:ln>
            <a:effectLst/>
          </c:spPr>
        </c:majorGridlines>
        <c:title>
          <c:tx>
            <c:rich>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r>
                  <a:rPr lang="en-IN"/>
                  <a:t>Add Spend</a:t>
                </a:r>
              </a:p>
            </c:rich>
          </c:tx>
          <c:layout>
            <c:manualLayout>
              <c:xMode val="edge"/>
              <c:yMode val="edge"/>
              <c:x val="0.40556124234470697"/>
              <c:y val="0.88793963254593178"/>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65383471"/>
        <c:crosses val="autoZero"/>
        <c:crossBetween val="midCat"/>
      </c:valAx>
      <c:valAx>
        <c:axId val="165383471"/>
        <c:scaling>
          <c:orientation val="minMax"/>
        </c:scaling>
        <c:delete val="0"/>
        <c:axPos val="l"/>
        <c:majorGridlines>
          <c:spPr>
            <a:ln w="9525" cap="flat" cmpd="sng" algn="ctr">
              <a:solidFill>
                <a:schemeClr val="dk1">
                  <a:lumMod val="65000"/>
                  <a:lumOff val="35000"/>
                  <a:alpha val="75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r>
                  <a:rPr lang="en-IN"/>
                  <a:t>Net Growth</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lt1">
                <a:lumMod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267589567"/>
        <c:crosses val="autoZero"/>
        <c:crossBetween val="midCat"/>
      </c:valAx>
      <c:spPr>
        <a:noFill/>
        <a:ln>
          <a:noFill/>
        </a:ln>
        <a:effectLst/>
      </c:spPr>
    </c:plotArea>
    <c:plotVisOnly val="1"/>
    <c:dispBlanksAs val="gap"/>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02">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5.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45">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3"/>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dk1">
            <a:lumMod val="65000"/>
            <a:lumOff val="35000"/>
            <a:alpha val="75000"/>
          </a:schemeClr>
        </a:solidFill>
        <a:round/>
      </a:ln>
    </cs:spPr>
  </cs:gridlineMajor>
  <cs:gridlineMinor>
    <cs:lnRef idx="0"/>
    <cs:fillRef idx="0"/>
    <cs:effectRef idx="0"/>
    <cs:fontRef idx="minor">
      <a:schemeClr val="tx1"/>
    </cs:fontRef>
    <cs:spPr>
      <a:ln w="9525" cap="flat" cmpd="sng" algn="ctr">
        <a:solidFill>
          <a:schemeClr val="dk1">
            <a:lumMod val="65000"/>
            <a:lumOff val="35000"/>
            <a:alpha val="25000"/>
          </a:schemeClr>
        </a:soli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spPr>
      <a:ln w="9525" cap="flat" cmpd="sng" algn="ctr">
        <a:solidFill>
          <a:schemeClr val="lt1">
            <a:lumMod val="50000"/>
          </a:schemeClr>
        </a:solidFill>
        <a:round/>
      </a:ln>
    </cs:spPr>
    <cs:defRPr sz="900" kern="1200"/>
    <cs:bodyPr/>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_rels/drawing4.xml.rels><?xml version="1.0" encoding="UTF-8" standalone="yes"?>
<Relationships xmlns="http://schemas.openxmlformats.org/package/2006/relationships"><Relationship Id="rId2" Type="http://schemas.openxmlformats.org/officeDocument/2006/relationships/chart" Target="../charts/chart6.xml"/><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23</xdr:col>
      <xdr:colOff>289560</xdr:colOff>
      <xdr:row>24</xdr:row>
      <xdr:rowOff>22860</xdr:rowOff>
    </xdr:from>
    <xdr:to>
      <xdr:col>25</xdr:col>
      <xdr:colOff>1455420</xdr:colOff>
      <xdr:row>37</xdr:row>
      <xdr:rowOff>53340</xdr:rowOff>
    </xdr:to>
    <xdr:graphicFrame macro="">
      <xdr:nvGraphicFramePr>
        <xdr:cNvPr id="5" name="Chart 4">
          <a:extLst>
            <a:ext uri="{FF2B5EF4-FFF2-40B4-BE49-F238E27FC236}">
              <a16:creationId xmlns:a16="http://schemas.microsoft.com/office/drawing/2014/main" id="{87361815-D99D-4820-BF82-E3DFB57E2B6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17</xdr:col>
      <xdr:colOff>982980</xdr:colOff>
      <xdr:row>11</xdr:row>
      <xdr:rowOff>99060</xdr:rowOff>
    </xdr:from>
    <xdr:to>
      <xdr:col>20</xdr:col>
      <xdr:colOff>274320</xdr:colOff>
      <xdr:row>23</xdr:row>
      <xdr:rowOff>38100</xdr:rowOff>
    </xdr:to>
    <xdr:graphicFrame macro="">
      <xdr:nvGraphicFramePr>
        <xdr:cNvPr id="2" name="Chart 1">
          <a:extLst>
            <a:ext uri="{FF2B5EF4-FFF2-40B4-BE49-F238E27FC236}">
              <a16:creationId xmlns:a16="http://schemas.microsoft.com/office/drawing/2014/main" id="{ADEDC772-5477-4403-94AF-6096EED07BA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556260</xdr:colOff>
      <xdr:row>41</xdr:row>
      <xdr:rowOff>175260</xdr:rowOff>
    </xdr:from>
    <xdr:to>
      <xdr:col>16</xdr:col>
      <xdr:colOff>1722120</xdr:colOff>
      <xdr:row>52</xdr:row>
      <xdr:rowOff>175260</xdr:rowOff>
    </xdr:to>
    <xdr:graphicFrame macro="">
      <xdr:nvGraphicFramePr>
        <xdr:cNvPr id="3" name="Chart 2">
          <a:extLst>
            <a:ext uri="{FF2B5EF4-FFF2-40B4-BE49-F238E27FC236}">
              <a16:creationId xmlns:a16="http://schemas.microsoft.com/office/drawing/2014/main" id="{1093913F-99FE-46F0-A82D-7B9F71455B6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12</xdr:col>
      <xdr:colOff>883920</xdr:colOff>
      <xdr:row>16</xdr:row>
      <xdr:rowOff>167640</xdr:rowOff>
    </xdr:from>
    <xdr:to>
      <xdr:col>17</xdr:col>
      <xdr:colOff>243840</xdr:colOff>
      <xdr:row>31</xdr:row>
      <xdr:rowOff>167640</xdr:rowOff>
    </xdr:to>
    <xdr:graphicFrame macro="">
      <xdr:nvGraphicFramePr>
        <xdr:cNvPr id="4" name="Chart 3">
          <a:extLst>
            <a:ext uri="{FF2B5EF4-FFF2-40B4-BE49-F238E27FC236}">
              <a16:creationId xmlns:a16="http://schemas.microsoft.com/office/drawing/2014/main" id="{C89B46BB-EA75-42A0-9394-F15E9EB9396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15</xdr:col>
      <xdr:colOff>586740</xdr:colOff>
      <xdr:row>17</xdr:row>
      <xdr:rowOff>152400</xdr:rowOff>
    </xdr:from>
    <xdr:to>
      <xdr:col>23</xdr:col>
      <xdr:colOff>281940</xdr:colOff>
      <xdr:row>35</xdr:row>
      <xdr:rowOff>68580</xdr:rowOff>
    </xdr:to>
    <xdr:graphicFrame macro="">
      <xdr:nvGraphicFramePr>
        <xdr:cNvPr id="2" name="Chart 1">
          <a:extLst>
            <a:ext uri="{FF2B5EF4-FFF2-40B4-BE49-F238E27FC236}">
              <a16:creationId xmlns:a16="http://schemas.microsoft.com/office/drawing/2014/main" id="{EFEA766F-25B8-44E9-BAE2-77850689CEF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396240</xdr:colOff>
      <xdr:row>72</xdr:row>
      <xdr:rowOff>129540</xdr:rowOff>
    </xdr:from>
    <xdr:to>
      <xdr:col>15</xdr:col>
      <xdr:colOff>144780</xdr:colOff>
      <xdr:row>86</xdr:row>
      <xdr:rowOff>137160</xdr:rowOff>
    </xdr:to>
    <xdr:graphicFrame macro="">
      <xdr:nvGraphicFramePr>
        <xdr:cNvPr id="10" name="Chart 9">
          <a:extLst>
            <a:ext uri="{FF2B5EF4-FFF2-40B4-BE49-F238E27FC236}">
              <a16:creationId xmlns:a16="http://schemas.microsoft.com/office/drawing/2014/main" id="{1B081C03-07CF-4DEA-8789-773D1A9199F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_rels/pivotCacheDefinition6.xml.rels><?xml version="1.0" encoding="UTF-8" standalone="yes"?>
<Relationships xmlns="http://schemas.openxmlformats.org/package/2006/relationships"><Relationship Id="rId1" Type="http://schemas.openxmlformats.org/officeDocument/2006/relationships/pivotCacheRecords" Target="pivotCacheRecords6.xml"/></Relationships>
</file>

<file path=xl/pivotCache/_rels/pivotCacheDefinition7.xml.rels><?xml version="1.0" encoding="UTF-8" standalone="yes"?>
<Relationships xmlns="http://schemas.openxmlformats.org/package/2006/relationships"><Relationship Id="rId1" Type="http://schemas.openxmlformats.org/officeDocument/2006/relationships/pivotCacheRecords" Target="pivotCacheRecords7.xml"/></Relationships>
</file>

<file path=xl/pivotCache/_rels/pivotCacheDefinition8.xml.rels><?xml version="1.0" encoding="UTF-8" standalone="yes"?>
<Relationships xmlns="http://schemas.openxmlformats.org/package/2006/relationships"><Relationship Id="rId1" Type="http://schemas.openxmlformats.org/officeDocument/2006/relationships/pivotCacheRecords" Target="pivotCacheRecords8.xml"/></Relationships>
</file>

<file path=xl/pivotCache/_rels/pivotCacheDefinition9.xml.rels><?xml version="1.0" encoding="UTF-8" standalone="yes"?>
<Relationships xmlns="http://schemas.openxmlformats.org/package/2006/relationships"><Relationship Id="rId1" Type="http://schemas.openxmlformats.org/officeDocument/2006/relationships/pivotCacheRecords" Target="pivotCacheRecords9.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5952.533473726849" createdVersion="6" refreshedVersion="6" minRefreshableVersion="3" recordCount="300" xr:uid="{068963F7-A075-485D-9ABC-69D159E67CD1}">
  <cacheSource type="worksheet">
    <worksheetSource ref="A1:N301" sheet="Task 2"/>
  </cacheSource>
  <cacheFields count="16">
    <cacheField name="Post ID" numFmtId="0">
      <sharedItems/>
    </cacheField>
    <cacheField name="Platform" numFmtId="0">
      <sharedItems count="4">
        <s v="Instagram"/>
        <s v="Twitter"/>
        <s v="Youtube"/>
        <s v="Facebook"/>
      </sharedItems>
    </cacheField>
    <cacheField name="Date" numFmtId="0">
      <sharedItems/>
    </cacheField>
    <cacheField name="Content Type" numFmtId="0">
      <sharedItems count="6">
        <s v="Story"/>
        <s v="Reel"/>
        <s v="Video"/>
        <s v="Carousel"/>
        <s v="Image"/>
        <s v="Text"/>
      </sharedItems>
    </cacheField>
    <cacheField name="Post Text" numFmtId="0">
      <sharedItems count="24">
        <s v="Check Out Our Latest Story On Instagram!"/>
        <s v="Check Out Our Latest Reel On Instagram!"/>
        <s v="Check Out Our Latest Story On Twitter!"/>
        <s v="Check Out Our Latest Video On Instagram!"/>
        <s v="Check Out Our Latest Carousel On Twitter!"/>
        <s v="Check Out Our Latest Image On Twitter!"/>
        <s v="Check Out Our Latest Carousel On Youtube!"/>
        <s v="Check Out Our Latest Image On Youtube!"/>
        <s v="Check Out Our Latest Video On Facebook!"/>
        <s v="Check Out Our Latest Image On Instagram!"/>
        <s v="Check Out Our Latest Reel On Twitter!"/>
        <s v="Check Out Our Latest Image On Facebook!"/>
        <s v="Check Out Our Latest Carousel On Instagram!"/>
        <s v="Check Out Our Latest Text On Instagram!"/>
        <s v="Check Out Our Latest Story On Facebook!"/>
        <s v="Check Out Our Latest Video On Youtube!"/>
        <s v="Check Out Our Latest Text On Facebook!"/>
        <s v="Check Out Our Latest Text On Youtube!"/>
        <s v="Check Out Our Latest Text On Twitter!"/>
        <s v="Check Out Our Latest Reel On Youtube!"/>
        <s v="Check Out Our Latest Video On Twitter!"/>
        <s v="Check Out Our Latest Carousel On Facebook!"/>
        <s v="Check Out Our Latest Reel On Facebook!"/>
        <s v="Check Out Our Latest Story On Youtube!"/>
      </sharedItems>
    </cacheField>
    <cacheField name="Likes" numFmtId="0">
      <sharedItems containsSemiMixedTypes="0" containsString="0" containsNumber="1" containsInteger="1" minValue="53" maxValue="4941"/>
    </cacheField>
    <cacheField name="Shares" numFmtId="0">
      <sharedItems containsSemiMixedTypes="0" containsString="0" containsNumber="1" containsInteger="1" minValue="10" maxValue="983"/>
    </cacheField>
    <cacheField name="Comments" numFmtId="0">
      <sharedItems containsSemiMixedTypes="0" containsString="0" containsNumber="1" containsInteger="1" minValue="7" maxValue="500"/>
    </cacheField>
    <cacheField name="Impressions" numFmtId="0">
      <sharedItems containsSemiMixedTypes="0" containsString="0" containsNumber="1" containsInteger="1" minValue="588" maxValue="98100"/>
    </cacheField>
    <cacheField name="Reach" numFmtId="0">
      <sharedItems containsSemiMixedTypes="0" containsString="0" containsNumber="1" containsInteger="1" minValue="7" maxValue="97772"/>
    </cacheField>
    <cacheField name="Clicks" numFmtId="0">
      <sharedItems containsSemiMixedTypes="0" containsString="0" containsNumber="1" containsInteger="1" minValue="10" maxValue="300"/>
    </cacheField>
    <cacheField name="Hashtags Used.1" numFmtId="0">
      <sharedItems count="3">
        <s v="Evrevolution"/>
        <s v="Teslacoinnovation"/>
        <s v="Futureofdriving"/>
      </sharedItems>
    </cacheField>
    <cacheField name="Hashtags Used.2" numFmtId="0">
      <sharedItems containsBlank="1" count="6">
        <m/>
        <s v="Betterwithtesla"/>
        <s v="Anytimeisteslatime"/>
        <s v="Teslacoinnovation"/>
        <s v="Smoothlikenitrotesla"/>
        <s v="Evrevolution"/>
      </sharedItems>
    </cacheField>
    <cacheField name="Hashtags Used.3" numFmtId="0">
      <sharedItems containsBlank="1" count="4">
        <m/>
        <s v="Anytimeisteslatime"/>
        <s v="Evrevolution"/>
        <s v="Betterwithtesla"/>
      </sharedItems>
    </cacheField>
    <cacheField name="Campaign_Name" numFmtId="0">
      <sharedItems containsBlank="1"/>
    </cacheField>
    <cacheField name="Average Engagement Rate" numFmtId="0">
      <sharedItems containsSemiMixedTypes="0" containsString="0" containsNumber="1" minValue="5.2551586421122697E-2" maxValue="1.8129251700680271"/>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5952.859356365741" createdVersion="6" refreshedVersion="6" minRefreshableVersion="3" recordCount="300" xr:uid="{26C62D21-C7A6-4562-A216-96FFF1EB6921}">
  <cacheSource type="worksheet">
    <worksheetSource ref="M1:V301" sheet="Task 5"/>
  </cacheSource>
  <cacheFields count="10">
    <cacheField name="Likes" numFmtId="0">
      <sharedItems containsSemiMixedTypes="0" containsString="0" containsNumber="1" containsInteger="1" minValue="53" maxValue="4941"/>
    </cacheField>
    <cacheField name="Shares" numFmtId="0">
      <sharedItems containsSemiMixedTypes="0" containsString="0" containsNumber="1" containsInteger="1" minValue="10" maxValue="983"/>
    </cacheField>
    <cacheField name="Comments" numFmtId="0">
      <sharedItems containsSemiMixedTypes="0" containsString="0" containsNumber="1" containsInteger="1" minValue="7" maxValue="500"/>
    </cacheField>
    <cacheField name="Impressions" numFmtId="0">
      <sharedItems containsSemiMixedTypes="0" containsString="0" containsNumber="1" containsInteger="1" minValue="588" maxValue="98100"/>
    </cacheField>
    <cacheField name="Reach" numFmtId="0">
      <sharedItems containsSemiMixedTypes="0" containsString="0" containsNumber="1" containsInteger="1" minValue="7" maxValue="97772"/>
    </cacheField>
    <cacheField name="Clicks" numFmtId="0">
      <sharedItems containsSemiMixedTypes="0" containsString="0" containsNumber="1" containsInteger="1" minValue="10" maxValue="300"/>
    </cacheField>
    <cacheField name="Hashtags Used.1" numFmtId="0">
      <sharedItems/>
    </cacheField>
    <cacheField name="Hashtags Used.2" numFmtId="0">
      <sharedItems containsBlank="1"/>
    </cacheField>
    <cacheField name="Hashtags Used.3" numFmtId="0">
      <sharedItems containsBlank="1"/>
    </cacheField>
    <cacheField name="Campaign_Name" numFmtId="0">
      <sharedItems containsBlank="1" count="5">
        <s v="Modelycampaign"/>
        <m/>
        <s v="Cybertrucklaunch"/>
        <s v="Fsdupdate"/>
        <s v="Sustainabilitydrive"/>
      </sharedItems>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5953.011624537037" createdVersion="6" refreshedVersion="6" minRefreshableVersion="3" recordCount="200" xr:uid="{2CFB3211-950D-4B95-B79B-6C3B99AF7223}">
  <cacheSource type="worksheet">
    <worksheetSource name="Engagement_Summary"/>
  </cacheSource>
  <cacheFields count="8">
    <cacheField name="Week_Start_Date" numFmtId="0">
      <sharedItems count="50">
        <s v="03-06-2024"/>
        <s v="10-06-2024"/>
        <s v="17-06-2024"/>
        <s v="24-06-2024"/>
        <s v="01-07-2024"/>
        <s v="08-07-2024"/>
        <s v="15-07-2024"/>
        <s v="22-07-2024"/>
        <s v="29-07-2024"/>
        <s v="05-08-2024"/>
        <s v="12-08-2024"/>
        <s v="19-08-2024"/>
        <s v="26-08-2024"/>
        <s v="02-09-2024"/>
        <s v="09-09-2024"/>
        <s v="16-09-2024"/>
        <s v="23-09-2024"/>
        <s v="30-09-2024"/>
        <s v="07-10-2024"/>
        <s v="14-10-2024"/>
        <s v="21-10-2024"/>
        <s v="28-10-2024"/>
        <s v="04-11-2024"/>
        <s v="11-11-2024"/>
        <s v="18-11-2024"/>
        <s v="25-11-2024"/>
        <s v="02-12-2024"/>
        <s v="09-12-2024"/>
        <s v="16-12-2024"/>
        <s v="23-12-2024"/>
        <s v="30-12-2024"/>
        <s v="06-01-2025"/>
        <s v="13-01-2025"/>
        <s v="20-01-2025"/>
        <s v="27-01-2025"/>
        <s v="03-02-2025"/>
        <s v="10-02-2025"/>
        <s v="17-02-2025"/>
        <s v="24-02-2025"/>
        <s v="03-03-2025"/>
        <s v="10-03-2025"/>
        <s v="17-03-2025"/>
        <s v="24-03-2025"/>
        <s v="31-03-2025"/>
        <s v="07-04-2025"/>
        <s v="14-04-2025"/>
        <s v="21-04-2025"/>
        <s v="28-04-2025"/>
        <s v="05-05-2025"/>
        <s v="12-05-2025"/>
      </sharedItems>
    </cacheField>
    <cacheField name="Platform" numFmtId="0">
      <sharedItems count="4">
        <s v="Facebook"/>
        <s v="Instagram"/>
        <s v="Twitter"/>
        <s v="Youtube"/>
      </sharedItems>
    </cacheField>
    <cacheField name="New_Followers" numFmtId="0">
      <sharedItems containsSemiMixedTypes="0" containsString="0" containsNumber="1" containsInteger="1" minValue="115" maxValue="1980"/>
    </cacheField>
    <cacheField name="Unfollows" numFmtId="0">
      <sharedItems containsSemiMixedTypes="0" containsString="0" containsNumber="1" containsInteger="1" minValue="20" maxValue="498"/>
    </cacheField>
    <cacheField name="Total_Followers" numFmtId="0">
      <sharedItems containsSemiMixedTypes="0" containsString="0" containsNumber="1" containsInteger="1" minValue="11435" maxValue="496982"/>
    </cacheField>
    <cacheField name="Engagement_Rate" numFmtId="0">
      <sharedItems containsSemiMixedTypes="0" containsString="0" containsNumber="1" minValue="1.53" maxValue="9.48"/>
    </cacheField>
    <cacheField name="Ad_Spend" numFmtId="0">
      <sharedItems containsSemiMixedTypes="0" containsString="0" containsNumber="1" containsInteger="1" minValue="1083" maxValue="49772"/>
    </cacheField>
    <cacheField name="Net Growth" numFmtId="0">
      <sharedItems containsSemiMixedTypes="0" containsString="0" containsNumber="1" containsInteger="1" minValue="-48912" maxValue="44"/>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5953.027863194446" createdVersion="6" refreshedVersion="6" minRefreshableVersion="3" recordCount="200" xr:uid="{3AC1A3F5-826D-48F0-BD34-D149D8067C8F}">
  <cacheSource type="worksheet">
    <worksheetSource ref="O1:V201" sheet="Task 3"/>
  </cacheSource>
  <cacheFields count="8">
    <cacheField name="Week_Start_Date" numFmtId="0">
      <sharedItems/>
    </cacheField>
    <cacheField name="Platform" numFmtId="0">
      <sharedItems count="4">
        <s v="Facebook"/>
        <s v="Instagram"/>
        <s v="Twitter"/>
        <s v="Youtube"/>
      </sharedItems>
    </cacheField>
    <cacheField name="New_Followers" numFmtId="0">
      <sharedItems containsSemiMixedTypes="0" containsString="0" containsNumber="1" containsInteger="1" minValue="115" maxValue="1980"/>
    </cacheField>
    <cacheField name="Unfollows" numFmtId="0">
      <sharedItems containsSemiMixedTypes="0" containsString="0" containsNumber="1" containsInteger="1" minValue="20" maxValue="498"/>
    </cacheField>
    <cacheField name="Total_Followers" numFmtId="0">
      <sharedItems containsSemiMixedTypes="0" containsString="0" containsNumber="1" containsInteger="1" minValue="11435" maxValue="496982"/>
    </cacheField>
    <cacheField name="Engagement_Rate" numFmtId="0">
      <sharedItems containsSemiMixedTypes="0" containsString="0" containsNumber="1" minValue="1.53" maxValue="9.48"/>
    </cacheField>
    <cacheField name="Ad_Spend" numFmtId="0">
      <sharedItems containsSemiMixedTypes="0" containsString="0" containsNumber="1" containsInteger="1" minValue="1083" maxValue="49772"/>
    </cacheField>
    <cacheField name="Growth Rate" numFmtId="0">
      <sharedItems containsSemiMixedTypes="0" containsString="0" containsNumber="1" minValue="114.9992134689936" maxValue="1979.9994623528389"/>
    </cacheField>
  </cacheFields>
  <extLst>
    <ext xmlns:x14="http://schemas.microsoft.com/office/spreadsheetml/2009/9/main" uri="{725AE2AE-9491-48be-B2B4-4EB974FC3084}">
      <x14:pivotCacheDefinition/>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5954.918559606478" createdVersion="6" refreshedVersion="6" minRefreshableVersion="3" recordCount="200" xr:uid="{307F0F7F-D1E4-4577-BCB3-A13359B6B6B6}">
  <cacheSource type="worksheet">
    <worksheetSource ref="A1:H201" sheet="Task 6"/>
  </cacheSource>
  <cacheFields count="8">
    <cacheField name="Week_Start_Date" numFmtId="0">
      <sharedItems count="50">
        <s v="03-06-2024"/>
        <s v="10-06-2024"/>
        <s v="17-06-2024"/>
        <s v="24-06-2024"/>
        <s v="01-07-2024"/>
        <s v="08-07-2024"/>
        <s v="15-07-2024"/>
        <s v="22-07-2024"/>
        <s v="29-07-2024"/>
        <s v="05-08-2024"/>
        <s v="12-08-2024"/>
        <s v="19-08-2024"/>
        <s v="26-08-2024"/>
        <s v="02-09-2024"/>
        <s v="09-09-2024"/>
        <s v="16-09-2024"/>
        <s v="23-09-2024"/>
        <s v="30-09-2024"/>
        <s v="07-10-2024"/>
        <s v="14-10-2024"/>
        <s v="21-10-2024"/>
        <s v="28-10-2024"/>
        <s v="04-11-2024"/>
        <s v="11-11-2024"/>
        <s v="18-11-2024"/>
        <s v="25-11-2024"/>
        <s v="02-12-2024"/>
        <s v="09-12-2024"/>
        <s v="16-12-2024"/>
        <s v="23-12-2024"/>
        <s v="30-12-2024"/>
        <s v="06-01-2025"/>
        <s v="13-01-2025"/>
        <s v="20-01-2025"/>
        <s v="27-01-2025"/>
        <s v="03-02-2025"/>
        <s v="10-02-2025"/>
        <s v="17-02-2025"/>
        <s v="24-02-2025"/>
        <s v="03-03-2025"/>
        <s v="10-03-2025"/>
        <s v="17-03-2025"/>
        <s v="24-03-2025"/>
        <s v="31-03-2025"/>
        <s v="07-04-2025"/>
        <s v="14-04-2025"/>
        <s v="21-04-2025"/>
        <s v="28-04-2025"/>
        <s v="05-05-2025"/>
        <s v="12-05-2025"/>
      </sharedItems>
    </cacheField>
    <cacheField name="Platform" numFmtId="0">
      <sharedItems count="4">
        <s v="Instagram"/>
        <s v="Facebook"/>
        <s v="Twitter"/>
        <s v="Youtube"/>
      </sharedItems>
    </cacheField>
    <cacheField name="New_Followers" numFmtId="0">
      <sharedItems containsSemiMixedTypes="0" containsString="0" containsNumber="1" containsInteger="1" minValue="115" maxValue="1980"/>
    </cacheField>
    <cacheField name="Unfollows" numFmtId="0">
      <sharedItems containsSemiMixedTypes="0" containsString="0" containsNumber="1" containsInteger="1" minValue="20" maxValue="498"/>
    </cacheField>
    <cacheField name="Total_Followers" numFmtId="0">
      <sharedItems containsSemiMixedTypes="0" containsString="0" containsNumber="1" containsInteger="1" minValue="11435" maxValue="496982"/>
    </cacheField>
    <cacheField name="Engagement_Rate" numFmtId="0">
      <sharedItems containsSemiMixedTypes="0" containsString="0" containsNumber="1" minValue="1.53" maxValue="9.48"/>
    </cacheField>
    <cacheField name="Ad_Spend" numFmtId="0">
      <sharedItems containsSemiMixedTypes="0" containsString="0" containsNumber="1" containsInteger="1" minValue="1083" maxValue="49772"/>
    </cacheField>
    <cacheField name="Net growth" numFmtId="0">
      <sharedItems containsSemiMixedTypes="0" containsString="0" containsNumber="1" containsInteger="1" minValue="-337" maxValue="1881"/>
    </cacheField>
  </cacheFields>
  <extLst>
    <ext xmlns:x14="http://schemas.microsoft.com/office/spreadsheetml/2009/9/main" uri="{725AE2AE-9491-48be-B2B4-4EB974FC3084}">
      <x14:pivotCacheDefinition/>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5956.05686203704" createdVersion="6" refreshedVersion="6" minRefreshableVersion="3" recordCount="339" xr:uid="{00ACE4E3-2753-434F-84E7-36F62DB3BDA2}">
  <cacheSource type="worksheet">
    <worksheetSource ref="K1:L340" sheet="Task 2"/>
  </cacheSource>
  <cacheFields count="2">
    <cacheField name="Clicks" numFmtId="0">
      <sharedItems containsSemiMixedTypes="0" containsString="0" containsNumber="1" containsInteger="1" minValue="10" maxValue="300"/>
    </cacheField>
    <cacheField name="Hashtags Used" numFmtId="0">
      <sharedItems count="6">
        <s v="futureofdriving"/>
        <s v="anytimeisteslatime"/>
        <s v="teslacoinnovation"/>
        <s v="betterwithtesla"/>
        <s v="evrevolution"/>
        <s v="smoothlikenitrotesla"/>
      </sharedItems>
    </cacheField>
  </cacheFields>
  <extLst>
    <ext xmlns:x14="http://schemas.microsoft.com/office/spreadsheetml/2009/9/main" uri="{725AE2AE-9491-48be-B2B4-4EB974FC3084}">
      <x14:pivotCacheDefinition/>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5956.065415277779" createdVersion="6" refreshedVersion="6" minRefreshableVersion="3" recordCount="339" xr:uid="{55FD31DA-DDE2-4647-9A76-6D2CF4DF17A6}">
  <cacheSource type="worksheet">
    <worksheetSource ref="L1:L340" sheet="Task 4"/>
  </cacheSource>
  <cacheFields count="1">
    <cacheField name="Hashtags Used" numFmtId="0">
      <sharedItems count="6">
        <s v="futureofdriving"/>
        <s v="anytimeisteslatime"/>
        <s v="teslacoinnovation"/>
        <s v="betterwithtesla"/>
        <s v="evrevolution"/>
        <s v="smoothlikenitrotesla"/>
      </sharedItems>
    </cacheField>
  </cacheFields>
  <extLst>
    <ext xmlns:x14="http://schemas.microsoft.com/office/spreadsheetml/2009/9/main" uri="{725AE2AE-9491-48be-B2B4-4EB974FC3084}">
      <x14:pivotCacheDefinition/>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5956.068321064813" createdVersion="6" refreshedVersion="6" minRefreshableVersion="3" recordCount="339" xr:uid="{7DFC6803-4052-444E-BE4B-3D55333FEA77}">
  <cacheSource type="worksheet">
    <worksheetSource ref="L1:N340" sheet="Task 4"/>
  </cacheSource>
  <cacheFields count="3">
    <cacheField name="Hashtags Used" numFmtId="0">
      <sharedItems count="6">
        <s v="futureofdriving"/>
        <s v="anytimeisteslatime"/>
        <s v="teslacoinnovation"/>
        <s v="betterwithtesla"/>
        <s v="evrevolution"/>
        <s v="smoothlikenitrotesla"/>
      </sharedItems>
    </cacheField>
    <cacheField name="Campaign_Name" numFmtId="0">
      <sharedItems containsBlank="1"/>
    </cacheField>
    <cacheField name="Engagement Rate" numFmtId="0">
      <sharedItems containsString="0" containsBlank="1" containsNumber="1" minValue="5.2551586421122697E-2" maxValue="1.8129251700680271"/>
    </cacheField>
  </cacheFields>
  <extLst>
    <ext xmlns:x14="http://schemas.microsoft.com/office/spreadsheetml/2009/9/main" uri="{725AE2AE-9491-48be-B2B4-4EB974FC3084}">
      <x14:pivotCacheDefinition/>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5957.91175486111" createdVersion="6" refreshedVersion="6" minRefreshableVersion="3" recordCount="339" xr:uid="{34578A40-48DC-44F2-BB5C-0C46246AD4D8}">
  <cacheSource type="worksheet">
    <worksheetSource ref="A1:N340" sheet="Task 4"/>
  </cacheSource>
  <cacheFields count="14">
    <cacheField name="Post ID" numFmtId="0">
      <sharedItems/>
    </cacheField>
    <cacheField name="Platform" numFmtId="0">
      <sharedItems/>
    </cacheField>
    <cacheField name="Date" numFmtId="14">
      <sharedItems containsSemiMixedTypes="0" containsNonDate="0" containsDate="1" containsString="0" minDate="2024-06-01T00:00:00" maxDate="2025-05-15T00:00:00"/>
    </cacheField>
    <cacheField name="Content Type" numFmtId="0">
      <sharedItems count="6">
        <s v="Reel"/>
        <s v="Text"/>
        <s v="Story"/>
        <s v="Carousel"/>
        <s v="Image"/>
        <s v="Video"/>
      </sharedItems>
    </cacheField>
    <cacheField name="Post Text" numFmtId="0">
      <sharedItems/>
    </cacheField>
    <cacheField name="Likes" numFmtId="0">
      <sharedItems containsSemiMixedTypes="0" containsString="0" containsNumber="1" containsInteger="1" minValue="53" maxValue="4941"/>
    </cacheField>
    <cacheField name="Shares" numFmtId="0">
      <sharedItems containsSemiMixedTypes="0" containsString="0" containsNumber="1" containsInteger="1" minValue="10" maxValue="983"/>
    </cacheField>
    <cacheField name="Comments" numFmtId="0">
      <sharedItems containsSemiMixedTypes="0" containsString="0" containsNumber="1" containsInteger="1" minValue="7" maxValue="500"/>
    </cacheField>
    <cacheField name="Impressions" numFmtId="0">
      <sharedItems containsSemiMixedTypes="0" containsString="0" containsNumber="1" containsInteger="1" minValue="588" maxValue="98100"/>
    </cacheField>
    <cacheField name="Reach" numFmtId="0">
      <sharedItems containsSemiMixedTypes="0" containsString="0" containsNumber="1" containsInteger="1" minValue="7" maxValue="97772"/>
    </cacheField>
    <cacheField name="Clicks" numFmtId="0">
      <sharedItems containsSemiMixedTypes="0" containsString="0" containsNumber="1" containsInteger="1" minValue="10" maxValue="300"/>
    </cacheField>
    <cacheField name="Hashtags Used" numFmtId="0">
      <sharedItems count="6">
        <s v="futureofdriving"/>
        <s v="anytimeisteslatime"/>
        <s v="teslacoinnovation"/>
        <s v="betterwithtesla"/>
        <s v="evrevolution"/>
        <s v="smoothlikenitrotesla"/>
      </sharedItems>
    </cacheField>
    <cacheField name="Campaign_Name" numFmtId="0">
      <sharedItems containsBlank="1"/>
    </cacheField>
    <cacheField name="Engagement Rate" numFmtId="0">
      <sharedItems containsString="0" containsBlank="1" containsNumber="1" minValue="5.2551586421122697E-2" maxValue="1.812925170068027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0">
  <r>
    <s v="P220"/>
    <x v="0"/>
    <s v="02-06-2024"/>
    <x v="0"/>
    <x v="0"/>
    <n v="84"/>
    <n v="897"/>
    <n v="85"/>
    <n v="588"/>
    <n v="8"/>
    <n v="12"/>
    <x v="0"/>
    <x v="0"/>
    <x v="0"/>
    <m/>
    <n v="1.8129251700680271"/>
  </r>
  <r>
    <s v="P058"/>
    <x v="0"/>
    <s v="15-04-2025"/>
    <x v="1"/>
    <x v="1"/>
    <n v="103"/>
    <n v="770"/>
    <n v="19"/>
    <n v="1030"/>
    <n v="410"/>
    <n v="262"/>
    <x v="1"/>
    <x v="0"/>
    <x v="0"/>
    <s v="Sustainabilitydrive"/>
    <n v="0.86601941747572819"/>
  </r>
  <r>
    <s v="P232"/>
    <x v="1"/>
    <s v="29-04-2025"/>
    <x v="0"/>
    <x v="2"/>
    <n v="249"/>
    <n v="592"/>
    <n v="230"/>
    <n v="1494"/>
    <n v="1044"/>
    <n v="201"/>
    <x v="0"/>
    <x v="0"/>
    <x v="0"/>
    <s v="Sustainabilitydrive"/>
    <n v="0.7168674698795181"/>
  </r>
  <r>
    <s v="P178"/>
    <x v="0"/>
    <s v="07-11-2024"/>
    <x v="2"/>
    <x v="3"/>
    <n v="129"/>
    <n v="643"/>
    <n v="136"/>
    <n v="1290"/>
    <n v="839"/>
    <n v="238"/>
    <x v="1"/>
    <x v="0"/>
    <x v="0"/>
    <s v="Sustainabilitydrive"/>
    <n v="0.70387596899224802"/>
  </r>
  <r>
    <s v="P175"/>
    <x v="0"/>
    <s v="17-01-2025"/>
    <x v="1"/>
    <x v="1"/>
    <n v="142"/>
    <n v="784"/>
    <n v="183"/>
    <n v="1704"/>
    <n v="995"/>
    <n v="154"/>
    <x v="2"/>
    <x v="0"/>
    <x v="0"/>
    <s v="Sustainabilitydrive"/>
    <n v="0.6508215962441315"/>
  </r>
  <r>
    <s v="P062"/>
    <x v="1"/>
    <s v="22-11-2024"/>
    <x v="3"/>
    <x v="4"/>
    <n v="53"/>
    <n v="81"/>
    <n v="379"/>
    <n v="954"/>
    <n v="7"/>
    <n v="148"/>
    <x v="1"/>
    <x v="0"/>
    <x v="0"/>
    <s v="Fsdupdate"/>
    <n v="0.53773584905660377"/>
  </r>
  <r>
    <s v="P264"/>
    <x v="1"/>
    <s v="30-01-2025"/>
    <x v="4"/>
    <x v="5"/>
    <n v="59"/>
    <n v="163"/>
    <n v="93"/>
    <n v="590"/>
    <n v="475"/>
    <n v="293"/>
    <x v="1"/>
    <x v="0"/>
    <x v="0"/>
    <s v="Modelycampaign"/>
    <n v="0.53389830508474578"/>
  </r>
  <r>
    <s v="P143"/>
    <x v="2"/>
    <s v="02-10-2024"/>
    <x v="3"/>
    <x v="6"/>
    <n v="80"/>
    <n v="362"/>
    <n v="80"/>
    <n v="1040"/>
    <n v="349"/>
    <n v="117"/>
    <x v="1"/>
    <x v="0"/>
    <x v="0"/>
    <s v="Fsdupdate"/>
    <n v="0.50192307692307692"/>
  </r>
  <r>
    <s v="P210"/>
    <x v="2"/>
    <s v="19-02-2025"/>
    <x v="4"/>
    <x v="7"/>
    <n v="257"/>
    <n v="966"/>
    <n v="398"/>
    <n v="3341"/>
    <n v="2753"/>
    <n v="287"/>
    <x v="2"/>
    <x v="0"/>
    <x v="0"/>
    <s v="Cybertrucklaunch"/>
    <n v="0.48518407662376534"/>
  </r>
  <r>
    <s v="P070"/>
    <x v="3"/>
    <s v="02-04-2025"/>
    <x v="2"/>
    <x v="8"/>
    <n v="199"/>
    <n v="772"/>
    <n v="400"/>
    <n v="3582"/>
    <n v="2988"/>
    <n v="43"/>
    <x v="1"/>
    <x v="0"/>
    <x v="0"/>
    <m/>
    <n v="0.38274706867671693"/>
  </r>
  <r>
    <s v="P214"/>
    <x v="0"/>
    <s v="23-12-2024"/>
    <x v="4"/>
    <x v="9"/>
    <n v="521"/>
    <n v="746"/>
    <n v="315"/>
    <n v="4168"/>
    <n v="3399"/>
    <n v="282"/>
    <x v="2"/>
    <x v="0"/>
    <x v="0"/>
    <s v="Modelycampaign"/>
    <n v="0.37955854126679461"/>
  </r>
  <r>
    <s v="P053"/>
    <x v="2"/>
    <s v="24-02-2025"/>
    <x v="3"/>
    <x v="6"/>
    <n v="804"/>
    <n v="639"/>
    <n v="43"/>
    <n v="4020"/>
    <n v="3144"/>
    <n v="11"/>
    <x v="0"/>
    <x v="1"/>
    <x v="0"/>
    <m/>
    <n v="0.36965174129353234"/>
  </r>
  <r>
    <s v="P102"/>
    <x v="1"/>
    <s v="18-09-2024"/>
    <x v="1"/>
    <x v="10"/>
    <n v="1000"/>
    <n v="978"/>
    <n v="162"/>
    <n v="6000"/>
    <n v="5221"/>
    <n v="223"/>
    <x v="0"/>
    <x v="0"/>
    <x v="0"/>
    <s v="Modelycampaign"/>
    <n v="0.35666666666666669"/>
  </r>
  <r>
    <s v="P124"/>
    <x v="2"/>
    <s v="06-04-2025"/>
    <x v="3"/>
    <x v="6"/>
    <n v="736"/>
    <n v="771"/>
    <n v="225"/>
    <n v="5152"/>
    <n v="4706"/>
    <n v="19"/>
    <x v="0"/>
    <x v="0"/>
    <x v="0"/>
    <s v="Cybertrucklaunch"/>
    <n v="0.33618012422360249"/>
  </r>
  <r>
    <s v="P121"/>
    <x v="0"/>
    <s v="29-07-2024"/>
    <x v="0"/>
    <x v="0"/>
    <n v="498"/>
    <n v="701"/>
    <n v="412"/>
    <n v="4980"/>
    <n v="4185"/>
    <n v="185"/>
    <x v="2"/>
    <x v="0"/>
    <x v="0"/>
    <m/>
    <n v="0.32349397590361445"/>
  </r>
  <r>
    <s v="P224"/>
    <x v="3"/>
    <s v="13-05-2025"/>
    <x v="4"/>
    <x v="11"/>
    <n v="602"/>
    <n v="594"/>
    <n v="156"/>
    <n v="4214"/>
    <n v="3363"/>
    <n v="164"/>
    <x v="1"/>
    <x v="0"/>
    <x v="0"/>
    <s v="Fsdupdate"/>
    <n v="0.32083531086853345"/>
  </r>
  <r>
    <s v="P154"/>
    <x v="0"/>
    <s v="09-10-2024"/>
    <x v="3"/>
    <x v="12"/>
    <n v="985"/>
    <n v="932"/>
    <n v="287"/>
    <n v="6895"/>
    <n v="6757"/>
    <n v="64"/>
    <x v="2"/>
    <x v="0"/>
    <x v="0"/>
    <s v="Sustainabilitydrive"/>
    <n v="0.31965192168237855"/>
  </r>
  <r>
    <s v="P119"/>
    <x v="0"/>
    <s v="07-02-2025"/>
    <x v="1"/>
    <x v="1"/>
    <n v="1970"/>
    <n v="675"/>
    <n v="478"/>
    <n v="9850"/>
    <n v="8924"/>
    <n v="117"/>
    <x v="2"/>
    <x v="0"/>
    <x v="0"/>
    <m/>
    <n v="0.31705583756345179"/>
  </r>
  <r>
    <s v="P287"/>
    <x v="0"/>
    <s v="15-08-2024"/>
    <x v="1"/>
    <x v="1"/>
    <n v="1164"/>
    <n v="616"/>
    <n v="324"/>
    <n v="6984"/>
    <n v="6636"/>
    <n v="82"/>
    <x v="0"/>
    <x v="0"/>
    <x v="0"/>
    <s v="Cybertrucklaunch"/>
    <n v="0.30126002290950743"/>
  </r>
  <r>
    <s v="P204"/>
    <x v="0"/>
    <s v="01-01-2025"/>
    <x v="3"/>
    <x v="12"/>
    <n v="2234"/>
    <n v="653"/>
    <n v="432"/>
    <n v="11170"/>
    <n v="10569"/>
    <n v="198"/>
    <x v="2"/>
    <x v="0"/>
    <x v="0"/>
    <s v="Fsdupdate"/>
    <n v="0.29713518352730528"/>
  </r>
  <r>
    <s v="P066"/>
    <x v="1"/>
    <s v="26-07-2024"/>
    <x v="3"/>
    <x v="4"/>
    <n v="432"/>
    <n v="171"/>
    <n v="280"/>
    <n v="3024"/>
    <n v="2285"/>
    <n v="184"/>
    <x v="0"/>
    <x v="0"/>
    <x v="0"/>
    <s v="Cybertrucklaunch"/>
    <n v="0.29199735449735448"/>
  </r>
  <r>
    <s v="P183"/>
    <x v="0"/>
    <s v="17-12-2024"/>
    <x v="0"/>
    <x v="0"/>
    <n v="360"/>
    <n v="590"/>
    <n v="393"/>
    <n v="4680"/>
    <n v="4322"/>
    <n v="208"/>
    <x v="2"/>
    <x v="0"/>
    <x v="0"/>
    <s v="Modelycampaign"/>
    <n v="0.28696581196581195"/>
  </r>
  <r>
    <s v="P031"/>
    <x v="0"/>
    <s v="16-12-2024"/>
    <x v="5"/>
    <x v="13"/>
    <n v="438"/>
    <n v="153"/>
    <n v="275"/>
    <n v="3066"/>
    <n v="2701"/>
    <n v="282"/>
    <x v="1"/>
    <x v="0"/>
    <x v="0"/>
    <s v="Modelycampaign"/>
    <n v="0.28245270711024134"/>
  </r>
  <r>
    <s v="P093"/>
    <x v="0"/>
    <s v="11-12-2024"/>
    <x v="2"/>
    <x v="3"/>
    <n v="1431"/>
    <n v="951"/>
    <n v="26"/>
    <n v="8586"/>
    <n v="8396"/>
    <n v="150"/>
    <x v="0"/>
    <x v="0"/>
    <x v="0"/>
    <s v="Fsdupdate"/>
    <n v="0.28045655718611695"/>
  </r>
  <r>
    <s v="P263"/>
    <x v="0"/>
    <s v="20-08-2024"/>
    <x v="1"/>
    <x v="1"/>
    <n v="2603"/>
    <n v="690"/>
    <n v="205"/>
    <n v="13015"/>
    <n v="12130"/>
    <n v="20"/>
    <x v="2"/>
    <x v="0"/>
    <x v="0"/>
    <s v="Modelycampaign"/>
    <n v="0.26876680752977333"/>
  </r>
  <r>
    <s v="P248"/>
    <x v="3"/>
    <s v="02-02-2025"/>
    <x v="0"/>
    <x v="14"/>
    <n v="886"/>
    <n v="126"/>
    <n v="153"/>
    <n v="4430"/>
    <n v="4037"/>
    <n v="212"/>
    <x v="0"/>
    <x v="0"/>
    <x v="0"/>
    <m/>
    <n v="0.26297968397291194"/>
  </r>
  <r>
    <s v="P244"/>
    <x v="2"/>
    <s v="25-10-2024"/>
    <x v="2"/>
    <x v="15"/>
    <n v="4661"/>
    <n v="935"/>
    <n v="433"/>
    <n v="23305"/>
    <n v="22583"/>
    <n v="63"/>
    <x v="2"/>
    <x v="0"/>
    <x v="0"/>
    <s v="Fsdupdate"/>
    <n v="0.25869984981763572"/>
  </r>
  <r>
    <s v="P259"/>
    <x v="3"/>
    <s v="10-02-2025"/>
    <x v="5"/>
    <x v="16"/>
    <n v="562"/>
    <n v="158"/>
    <n v="149"/>
    <n v="3372"/>
    <n v="2940"/>
    <n v="93"/>
    <x v="1"/>
    <x v="0"/>
    <x v="0"/>
    <s v="Cybertrucklaunch"/>
    <n v="0.25771055753262156"/>
  </r>
  <r>
    <s v="P219"/>
    <x v="1"/>
    <s v="28-01-2025"/>
    <x v="1"/>
    <x v="10"/>
    <n v="1188"/>
    <n v="470"/>
    <n v="174"/>
    <n v="7128"/>
    <n v="6145"/>
    <n v="270"/>
    <x v="1"/>
    <x v="0"/>
    <x v="0"/>
    <s v="Sustainabilitydrive"/>
    <n v="0.25701459034792368"/>
  </r>
  <r>
    <s v="P226"/>
    <x v="0"/>
    <s v="07-08-2024"/>
    <x v="3"/>
    <x v="12"/>
    <n v="1741"/>
    <n v="164"/>
    <n v="318"/>
    <n v="8705"/>
    <n v="8272"/>
    <n v="121"/>
    <x v="1"/>
    <x v="0"/>
    <x v="0"/>
    <m/>
    <n v="0.25537047673750718"/>
  </r>
  <r>
    <s v="P265"/>
    <x v="1"/>
    <s v="20-02-2025"/>
    <x v="3"/>
    <x v="4"/>
    <n v="1877"/>
    <n v="745"/>
    <n v="225"/>
    <n v="11262"/>
    <n v="10967"/>
    <n v="41"/>
    <x v="0"/>
    <x v="0"/>
    <x v="0"/>
    <s v="Sustainabilitydrive"/>
    <n v="0.25279701651571657"/>
  </r>
  <r>
    <s v="P239"/>
    <x v="2"/>
    <s v="24-02-2025"/>
    <x v="5"/>
    <x v="17"/>
    <n v="4188"/>
    <n v="942"/>
    <n v="118"/>
    <n v="20940"/>
    <n v="20471"/>
    <n v="102"/>
    <x v="2"/>
    <x v="0"/>
    <x v="0"/>
    <m/>
    <n v="0.25062082139446035"/>
  </r>
  <r>
    <s v="P277"/>
    <x v="3"/>
    <s v="06-04-2025"/>
    <x v="4"/>
    <x v="11"/>
    <n v="4236"/>
    <n v="711"/>
    <n v="298"/>
    <n v="21180"/>
    <n v="20516"/>
    <n v="238"/>
    <x v="2"/>
    <x v="0"/>
    <x v="0"/>
    <s v="Cybertrucklaunch"/>
    <n v="0.24763928234183191"/>
  </r>
  <r>
    <s v="P297"/>
    <x v="1"/>
    <s v="24-12-2024"/>
    <x v="5"/>
    <x v="18"/>
    <n v="2166"/>
    <n v="354"/>
    <n v="117"/>
    <n v="10830"/>
    <n v="10245"/>
    <n v="24"/>
    <x v="0"/>
    <x v="0"/>
    <x v="0"/>
    <s v="Sustainabilitydrive"/>
    <n v="0.24349030470914126"/>
  </r>
  <r>
    <s v="P181"/>
    <x v="2"/>
    <s v="21-03-2025"/>
    <x v="4"/>
    <x v="7"/>
    <n v="606"/>
    <n v="789"/>
    <n v="470"/>
    <n v="7878"/>
    <n v="7389"/>
    <n v="239"/>
    <x v="0"/>
    <x v="0"/>
    <x v="0"/>
    <s v="Fsdupdate"/>
    <n v="0.23673521198273673"/>
  </r>
  <r>
    <s v="P246"/>
    <x v="3"/>
    <s v="11-10-2024"/>
    <x v="4"/>
    <x v="11"/>
    <n v="400"/>
    <n v="680"/>
    <n v="434"/>
    <n v="6400"/>
    <n v="5472"/>
    <n v="160"/>
    <x v="2"/>
    <x v="0"/>
    <x v="0"/>
    <s v="Modelycampaign"/>
    <n v="0.23656250000000001"/>
  </r>
  <r>
    <s v="P123"/>
    <x v="0"/>
    <s v="14-06-2024"/>
    <x v="0"/>
    <x v="0"/>
    <n v="4363"/>
    <n v="649"/>
    <n v="140"/>
    <n v="21815"/>
    <n v="21481"/>
    <n v="157"/>
    <x v="0"/>
    <x v="0"/>
    <x v="0"/>
    <s v="Cybertrucklaunch"/>
    <n v="0.23616777446710979"/>
  </r>
  <r>
    <s v="P120"/>
    <x v="3"/>
    <s v="21-10-2024"/>
    <x v="0"/>
    <x v="14"/>
    <n v="780"/>
    <n v="928"/>
    <n v="301"/>
    <n v="8580"/>
    <n v="8081"/>
    <n v="91"/>
    <x v="0"/>
    <x v="0"/>
    <x v="0"/>
    <s v="Fsdupdate"/>
    <n v="0.23414918414918415"/>
  </r>
  <r>
    <s v="P141"/>
    <x v="1"/>
    <s v="31-08-2024"/>
    <x v="4"/>
    <x v="5"/>
    <n v="3170"/>
    <n v="857"/>
    <n v="379"/>
    <n v="19020"/>
    <n v="18559"/>
    <n v="240"/>
    <x v="2"/>
    <x v="0"/>
    <x v="0"/>
    <m/>
    <n v="0.2316508937960042"/>
  </r>
  <r>
    <s v="P163"/>
    <x v="0"/>
    <s v="08-04-2025"/>
    <x v="4"/>
    <x v="9"/>
    <n v="4501"/>
    <n v="375"/>
    <n v="323"/>
    <n v="22505"/>
    <n v="21836"/>
    <n v="132"/>
    <x v="1"/>
    <x v="0"/>
    <x v="0"/>
    <s v="Modelycampaign"/>
    <n v="0.23101532992668297"/>
  </r>
  <r>
    <s v="P269"/>
    <x v="0"/>
    <s v="05-11-2024"/>
    <x v="2"/>
    <x v="3"/>
    <n v="4561"/>
    <n v="51"/>
    <n v="441"/>
    <n v="22805"/>
    <n v="21890"/>
    <n v="45"/>
    <x v="1"/>
    <x v="0"/>
    <x v="0"/>
    <s v="Modelycampaign"/>
    <n v="0.22157421618066214"/>
  </r>
  <r>
    <s v="P042"/>
    <x v="2"/>
    <s v="05-03-2025"/>
    <x v="1"/>
    <x v="19"/>
    <n v="1543"/>
    <n v="820"/>
    <n v="333"/>
    <n v="12344"/>
    <n v="11496"/>
    <n v="241"/>
    <x v="0"/>
    <x v="0"/>
    <x v="0"/>
    <m/>
    <n v="0.21840570317563188"/>
  </r>
  <r>
    <s v="P043"/>
    <x v="0"/>
    <s v="14-12-2024"/>
    <x v="3"/>
    <x v="12"/>
    <n v="2174"/>
    <n v="658"/>
    <n v="15"/>
    <n v="13044"/>
    <n v="12206"/>
    <n v="137"/>
    <x v="1"/>
    <x v="0"/>
    <x v="0"/>
    <s v="Fsdupdate"/>
    <n v="0.21826126954921804"/>
  </r>
  <r>
    <s v="P159"/>
    <x v="3"/>
    <s v="25-11-2024"/>
    <x v="0"/>
    <x v="14"/>
    <n v="2120"/>
    <n v="158"/>
    <n v="488"/>
    <n v="12720"/>
    <n v="12085"/>
    <n v="17"/>
    <x v="2"/>
    <x v="0"/>
    <x v="0"/>
    <s v="Modelycampaign"/>
    <n v="0.21745283018867925"/>
  </r>
  <r>
    <s v="P146"/>
    <x v="2"/>
    <s v="05-06-2024"/>
    <x v="1"/>
    <x v="19"/>
    <n v="3065"/>
    <n v="772"/>
    <n v="142"/>
    <n v="18390"/>
    <n v="17875"/>
    <n v="200"/>
    <x v="0"/>
    <x v="2"/>
    <x v="0"/>
    <m/>
    <n v="0.21636759108210984"/>
  </r>
  <r>
    <s v="P029"/>
    <x v="0"/>
    <s v="31-01-2025"/>
    <x v="3"/>
    <x v="12"/>
    <n v="2566"/>
    <n v="118"/>
    <n v="37"/>
    <n v="12830"/>
    <n v="12264"/>
    <n v="221"/>
    <x v="2"/>
    <x v="0"/>
    <x v="0"/>
    <s v="Fsdupdate"/>
    <n v="0.21208106001558846"/>
  </r>
  <r>
    <s v="P137"/>
    <x v="3"/>
    <s v="31-07-2024"/>
    <x v="2"/>
    <x v="8"/>
    <n v="3008"/>
    <n v="94"/>
    <n v="37"/>
    <n v="15040"/>
    <n v="14639"/>
    <n v="277"/>
    <x v="2"/>
    <x v="0"/>
    <x v="0"/>
    <m/>
    <n v="0.20871010638297871"/>
  </r>
  <r>
    <s v="P087"/>
    <x v="1"/>
    <s v="06-06-2024"/>
    <x v="2"/>
    <x v="20"/>
    <n v="1436"/>
    <n v="765"/>
    <n v="496"/>
    <n v="12924"/>
    <n v="12701"/>
    <n v="197"/>
    <x v="2"/>
    <x v="0"/>
    <x v="0"/>
    <s v="Fsdupdate"/>
    <n v="0.20868152274837512"/>
  </r>
  <r>
    <s v="P271"/>
    <x v="0"/>
    <s v="17-10-2024"/>
    <x v="2"/>
    <x v="3"/>
    <n v="3575"/>
    <n v="749"/>
    <n v="111"/>
    <n v="21450"/>
    <n v="20785"/>
    <n v="195"/>
    <x v="0"/>
    <x v="0"/>
    <x v="0"/>
    <s v="Modelycampaign"/>
    <n v="0.20675990675990677"/>
  </r>
  <r>
    <s v="P077"/>
    <x v="3"/>
    <s v="04-03-2025"/>
    <x v="0"/>
    <x v="14"/>
    <n v="1249"/>
    <n v="116"/>
    <n v="420"/>
    <n v="8743"/>
    <n v="8538"/>
    <n v="63"/>
    <x v="1"/>
    <x v="0"/>
    <x v="0"/>
    <m/>
    <n v="0.20416333066453163"/>
  </r>
  <r>
    <s v="P136"/>
    <x v="0"/>
    <s v="11-07-2024"/>
    <x v="5"/>
    <x v="13"/>
    <n v="3134"/>
    <n v="888"/>
    <n v="444"/>
    <n v="21938"/>
    <n v="21337"/>
    <n v="130"/>
    <x v="0"/>
    <x v="0"/>
    <x v="0"/>
    <s v="Sustainabilitydrive"/>
    <n v="0.20357370772176134"/>
  </r>
  <r>
    <s v="P258"/>
    <x v="0"/>
    <s v="05-08-2024"/>
    <x v="0"/>
    <x v="0"/>
    <n v="3601"/>
    <n v="695"/>
    <n v="75"/>
    <n v="21606"/>
    <n v="21454"/>
    <n v="172"/>
    <x v="0"/>
    <x v="0"/>
    <x v="0"/>
    <s v="Modelycampaign"/>
    <n v="0.2023049153013052"/>
  </r>
  <r>
    <s v="P276"/>
    <x v="1"/>
    <s v="07-06-2024"/>
    <x v="3"/>
    <x v="4"/>
    <n v="1556"/>
    <n v="195"/>
    <n v="131"/>
    <n v="9336"/>
    <n v="8875"/>
    <n v="137"/>
    <x v="1"/>
    <x v="0"/>
    <x v="0"/>
    <s v="Modelycampaign"/>
    <n v="0.2015852613538989"/>
  </r>
  <r>
    <s v="P148"/>
    <x v="0"/>
    <s v="15-04-2025"/>
    <x v="2"/>
    <x v="3"/>
    <n v="4133"/>
    <n v="466"/>
    <n v="327"/>
    <n v="24798"/>
    <n v="24620"/>
    <n v="176"/>
    <x v="0"/>
    <x v="0"/>
    <x v="0"/>
    <s v="Sustainabilitydrive"/>
    <n v="0.19864505202032423"/>
  </r>
  <r>
    <s v="P198"/>
    <x v="1"/>
    <s v="14-09-2024"/>
    <x v="4"/>
    <x v="5"/>
    <n v="1048"/>
    <n v="374"/>
    <n v="450"/>
    <n v="9432"/>
    <n v="8882"/>
    <n v="158"/>
    <x v="1"/>
    <x v="0"/>
    <x v="0"/>
    <s v="Fsdupdate"/>
    <n v="0.19847328244274809"/>
  </r>
  <r>
    <s v="P152"/>
    <x v="3"/>
    <s v="22-04-2025"/>
    <x v="4"/>
    <x v="11"/>
    <n v="4804"/>
    <n v="550"/>
    <n v="270"/>
    <n v="28824"/>
    <n v="28370"/>
    <n v="47"/>
    <x v="0"/>
    <x v="0"/>
    <x v="0"/>
    <s v="Sustainabilitydrive"/>
    <n v="0.19511518179295032"/>
  </r>
  <r>
    <s v="P286"/>
    <x v="2"/>
    <s v="25-09-2024"/>
    <x v="2"/>
    <x v="15"/>
    <n v="3389"/>
    <n v="344"/>
    <n v="229"/>
    <n v="20334"/>
    <n v="19443"/>
    <n v="228"/>
    <x v="2"/>
    <x v="0"/>
    <x v="0"/>
    <s v="Fsdupdate"/>
    <n v="0.19484607062063539"/>
  </r>
  <r>
    <s v="P068"/>
    <x v="0"/>
    <s v="08-12-2024"/>
    <x v="0"/>
    <x v="0"/>
    <n v="2610"/>
    <n v="126"/>
    <n v="288"/>
    <n v="15660"/>
    <n v="15145"/>
    <n v="73"/>
    <x v="0"/>
    <x v="0"/>
    <x v="0"/>
    <m/>
    <n v="0.19310344827586207"/>
  </r>
  <r>
    <s v="P085"/>
    <x v="0"/>
    <s v="19-04-2025"/>
    <x v="4"/>
    <x v="9"/>
    <n v="4177"/>
    <n v="569"/>
    <n v="55"/>
    <n v="25062"/>
    <n v="24847"/>
    <n v="230"/>
    <x v="2"/>
    <x v="0"/>
    <x v="0"/>
    <s v="Cybertrucklaunch"/>
    <n v="0.19156491900087783"/>
  </r>
  <r>
    <s v="P032"/>
    <x v="1"/>
    <s v="31-07-2024"/>
    <x v="3"/>
    <x v="4"/>
    <n v="2278"/>
    <n v="10"/>
    <n v="321"/>
    <n v="13668"/>
    <n v="12676"/>
    <n v="275"/>
    <x v="0"/>
    <x v="0"/>
    <x v="0"/>
    <s v="Cybertrucklaunch"/>
    <n v="0.19088381621305239"/>
  </r>
  <r>
    <s v="P218"/>
    <x v="3"/>
    <s v="11-06-2024"/>
    <x v="3"/>
    <x v="21"/>
    <n v="1869"/>
    <n v="453"/>
    <n v="490"/>
    <n v="14952"/>
    <n v="14309"/>
    <n v="275"/>
    <x v="1"/>
    <x v="0"/>
    <x v="0"/>
    <s v="Sustainabilitydrive"/>
    <n v="0.18806848582129482"/>
  </r>
  <r>
    <s v="P211"/>
    <x v="1"/>
    <s v="18-07-2024"/>
    <x v="3"/>
    <x v="4"/>
    <n v="2120"/>
    <n v="38"/>
    <n v="212"/>
    <n v="12720"/>
    <n v="12564"/>
    <n v="21"/>
    <x v="2"/>
    <x v="0"/>
    <x v="0"/>
    <s v="Sustainabilitydrive"/>
    <n v="0.18632075471698112"/>
  </r>
  <r>
    <s v="P242"/>
    <x v="3"/>
    <s v="07-07-2024"/>
    <x v="1"/>
    <x v="22"/>
    <n v="4767"/>
    <n v="190"/>
    <n v="340"/>
    <n v="28602"/>
    <n v="28044"/>
    <n v="210"/>
    <x v="0"/>
    <x v="0"/>
    <x v="0"/>
    <s v="Fsdupdate"/>
    <n v="0.18519683938186141"/>
  </r>
  <r>
    <s v="P041"/>
    <x v="0"/>
    <s v="08-03-2025"/>
    <x v="1"/>
    <x v="1"/>
    <n v="456"/>
    <n v="629"/>
    <n v="428"/>
    <n v="8208"/>
    <n v="7377"/>
    <n v="205"/>
    <x v="2"/>
    <x v="0"/>
    <x v="0"/>
    <s v="Sustainabilitydrive"/>
    <n v="0.18433235867446393"/>
  </r>
  <r>
    <s v="P294"/>
    <x v="3"/>
    <s v="19-06-2024"/>
    <x v="3"/>
    <x v="21"/>
    <n v="4731"/>
    <n v="173"/>
    <n v="276"/>
    <n v="28386"/>
    <n v="28185"/>
    <n v="89"/>
    <x v="0"/>
    <x v="0"/>
    <x v="0"/>
    <s v="Fsdupdate"/>
    <n v="0.18248432325794406"/>
  </r>
  <r>
    <s v="P006"/>
    <x v="3"/>
    <s v="31-10-2024"/>
    <x v="3"/>
    <x v="21"/>
    <n v="2945"/>
    <n v="930"/>
    <n v="355"/>
    <n v="23560"/>
    <n v="23275"/>
    <n v="256"/>
    <x v="1"/>
    <x v="0"/>
    <x v="0"/>
    <s v="Modelycampaign"/>
    <n v="0.17954159592529711"/>
  </r>
  <r>
    <s v="P153"/>
    <x v="1"/>
    <s v="01-01-2025"/>
    <x v="2"/>
    <x v="20"/>
    <n v="754"/>
    <n v="197"/>
    <n v="257"/>
    <n v="6786"/>
    <n v="6221"/>
    <n v="212"/>
    <x v="1"/>
    <x v="0"/>
    <x v="0"/>
    <s v="Fsdupdate"/>
    <n v="0.17801355732390214"/>
  </r>
  <r>
    <s v="P037"/>
    <x v="3"/>
    <s v="06-01-2025"/>
    <x v="3"/>
    <x v="21"/>
    <n v="3024"/>
    <n v="925"/>
    <n v="350"/>
    <n v="24192"/>
    <n v="23518"/>
    <n v="36"/>
    <x v="0"/>
    <x v="0"/>
    <x v="0"/>
    <s v="Modelycampaign"/>
    <n v="0.17770337301587302"/>
  </r>
  <r>
    <s v="P241"/>
    <x v="3"/>
    <s v="18-01-2025"/>
    <x v="0"/>
    <x v="14"/>
    <n v="4321"/>
    <n v="874"/>
    <n v="172"/>
    <n v="30247"/>
    <n v="29254"/>
    <n v="122"/>
    <x v="1"/>
    <x v="0"/>
    <x v="0"/>
    <s v="Sustainabilitydrive"/>
    <n v="0.17743908486792079"/>
  </r>
  <r>
    <s v="P112"/>
    <x v="1"/>
    <s v="05-10-2024"/>
    <x v="0"/>
    <x v="2"/>
    <n v="1957"/>
    <n v="877"/>
    <n v="238"/>
    <n v="17613"/>
    <n v="16865"/>
    <n v="297"/>
    <x v="2"/>
    <x v="0"/>
    <x v="0"/>
    <s v="Fsdupdate"/>
    <n v="0.17441662408448305"/>
  </r>
  <r>
    <s v="P129"/>
    <x v="1"/>
    <s v="21-07-2024"/>
    <x v="5"/>
    <x v="18"/>
    <n v="2147"/>
    <n v="430"/>
    <n v="393"/>
    <n v="17176"/>
    <n v="16483"/>
    <n v="170"/>
    <x v="1"/>
    <x v="0"/>
    <x v="0"/>
    <m/>
    <n v="0.17291569632044715"/>
  </r>
  <r>
    <s v="P028"/>
    <x v="0"/>
    <s v="04-03-2025"/>
    <x v="2"/>
    <x v="3"/>
    <n v="432"/>
    <n v="624"/>
    <n v="123"/>
    <n v="6912"/>
    <n v="6259"/>
    <n v="79"/>
    <x v="2"/>
    <x v="0"/>
    <x v="0"/>
    <s v="Sustainabilitydrive"/>
    <n v="0.17057291666666666"/>
  </r>
  <r>
    <s v="P046"/>
    <x v="1"/>
    <s v="02-05-2025"/>
    <x v="2"/>
    <x v="20"/>
    <n v="1108"/>
    <n v="177"/>
    <n v="212"/>
    <n v="8864"/>
    <n v="8710"/>
    <n v="97"/>
    <x v="1"/>
    <x v="0"/>
    <x v="0"/>
    <s v="Sustainabilitydrive"/>
    <n v="0.16888537906137185"/>
  </r>
  <r>
    <s v="P089"/>
    <x v="1"/>
    <s v="10-01-2025"/>
    <x v="4"/>
    <x v="5"/>
    <n v="2214"/>
    <n v="249"/>
    <n v="152"/>
    <n v="15498"/>
    <n v="14800"/>
    <n v="180"/>
    <x v="0"/>
    <x v="0"/>
    <x v="0"/>
    <m/>
    <n v="0.16873144921925409"/>
  </r>
  <r>
    <s v="P094"/>
    <x v="0"/>
    <s v="07-11-2024"/>
    <x v="4"/>
    <x v="9"/>
    <n v="2647"/>
    <n v="304"/>
    <n v="170"/>
    <n v="18529"/>
    <n v="17841"/>
    <n v="46"/>
    <x v="2"/>
    <x v="0"/>
    <x v="0"/>
    <s v="Fsdupdate"/>
    <n v="0.16843866371633656"/>
  </r>
  <r>
    <s v="P116"/>
    <x v="2"/>
    <s v="18-03-2025"/>
    <x v="1"/>
    <x v="19"/>
    <n v="3704"/>
    <n v="186"/>
    <n v="458"/>
    <n v="25928"/>
    <n v="25081"/>
    <n v="131"/>
    <x v="1"/>
    <x v="0"/>
    <x v="0"/>
    <m/>
    <n v="0.16769515581610614"/>
  </r>
  <r>
    <s v="P275"/>
    <x v="3"/>
    <s v="05-08-2024"/>
    <x v="1"/>
    <x v="22"/>
    <n v="1741"/>
    <n v="831"/>
    <n v="345"/>
    <n v="17410"/>
    <n v="16844"/>
    <n v="58"/>
    <x v="0"/>
    <x v="0"/>
    <x v="0"/>
    <s v="Fsdupdate"/>
    <n v="0.16754738655944859"/>
  </r>
  <r>
    <s v="P109"/>
    <x v="1"/>
    <s v="08-08-2024"/>
    <x v="0"/>
    <x v="2"/>
    <n v="3649"/>
    <n v="215"/>
    <n v="413"/>
    <n v="25543"/>
    <n v="24963"/>
    <n v="167"/>
    <x v="2"/>
    <x v="0"/>
    <x v="0"/>
    <s v="Fsdupdate"/>
    <n v="0.16744313510550835"/>
  </r>
  <r>
    <s v="P047"/>
    <x v="1"/>
    <s v="24-02-2025"/>
    <x v="3"/>
    <x v="4"/>
    <n v="2704"/>
    <n v="752"/>
    <n v="153"/>
    <n v="21632"/>
    <n v="20792"/>
    <n v="127"/>
    <x v="2"/>
    <x v="0"/>
    <x v="0"/>
    <m/>
    <n v="0.16683616863905326"/>
  </r>
  <r>
    <s v="P295"/>
    <x v="1"/>
    <s v="06-05-2025"/>
    <x v="4"/>
    <x v="5"/>
    <n v="1952"/>
    <n v="344"/>
    <n v="287"/>
    <n v="15616"/>
    <n v="15403"/>
    <n v="235"/>
    <x v="2"/>
    <x v="3"/>
    <x v="1"/>
    <s v="Modelycampaign"/>
    <n v="0.16540727459016394"/>
  </r>
  <r>
    <s v="P054"/>
    <x v="2"/>
    <s v="13-03-2025"/>
    <x v="3"/>
    <x v="6"/>
    <n v="1686"/>
    <n v="904"/>
    <n v="472"/>
    <n v="18546"/>
    <n v="18171"/>
    <n v="52"/>
    <x v="2"/>
    <x v="0"/>
    <x v="0"/>
    <s v="Modelycampaign"/>
    <n v="0.16510298716704411"/>
  </r>
  <r>
    <s v="P060"/>
    <x v="0"/>
    <s v="28-01-2025"/>
    <x v="2"/>
    <x v="3"/>
    <n v="904"/>
    <n v="973"/>
    <n v="63"/>
    <n v="11752"/>
    <n v="11580"/>
    <n v="84"/>
    <x v="0"/>
    <x v="3"/>
    <x v="1"/>
    <s v="Fsdupdate"/>
    <n v="0.1650782845473111"/>
  </r>
  <r>
    <s v="P083"/>
    <x v="2"/>
    <s v="15-10-2024"/>
    <x v="2"/>
    <x v="15"/>
    <n v="1094"/>
    <n v="472"/>
    <n v="21"/>
    <n v="9846"/>
    <n v="9609"/>
    <n v="112"/>
    <x v="0"/>
    <x v="0"/>
    <x v="0"/>
    <m/>
    <n v="0.16118220597196831"/>
  </r>
  <r>
    <s v="P138"/>
    <x v="1"/>
    <s v="29-03-2025"/>
    <x v="4"/>
    <x v="5"/>
    <n v="305"/>
    <n v="187"/>
    <n v="243"/>
    <n v="4575"/>
    <n v="3704"/>
    <n v="234"/>
    <x v="2"/>
    <x v="0"/>
    <x v="0"/>
    <s v="Fsdupdate"/>
    <n v="0.16065573770491803"/>
  </r>
  <r>
    <s v="P221"/>
    <x v="3"/>
    <s v="23-03-2025"/>
    <x v="2"/>
    <x v="8"/>
    <n v="4453"/>
    <n v="111"/>
    <n v="420"/>
    <n v="31171"/>
    <n v="30565"/>
    <n v="23"/>
    <x v="1"/>
    <x v="0"/>
    <x v="0"/>
    <m/>
    <n v="0.15989220750056141"/>
  </r>
  <r>
    <s v="P252"/>
    <x v="3"/>
    <s v="28-04-2025"/>
    <x v="3"/>
    <x v="21"/>
    <n v="2089"/>
    <n v="476"/>
    <n v="69"/>
    <n v="16712"/>
    <n v="16309"/>
    <n v="64"/>
    <x v="2"/>
    <x v="0"/>
    <x v="0"/>
    <s v="Fsdupdate"/>
    <n v="0.15761129727142173"/>
  </r>
  <r>
    <s v="P052"/>
    <x v="3"/>
    <s v="03-01-2025"/>
    <x v="4"/>
    <x v="11"/>
    <n v="947"/>
    <n v="338"/>
    <n v="350"/>
    <n v="10417"/>
    <n v="9730"/>
    <n v="34"/>
    <x v="1"/>
    <x v="0"/>
    <x v="0"/>
    <s v="Sustainabilitydrive"/>
    <n v="0.1569549774407219"/>
  </r>
  <r>
    <s v="P140"/>
    <x v="3"/>
    <s v="15-07-2024"/>
    <x v="4"/>
    <x v="11"/>
    <n v="2291"/>
    <n v="78"/>
    <n v="485"/>
    <n v="18328"/>
    <n v="18101"/>
    <n v="10"/>
    <x v="0"/>
    <x v="4"/>
    <x v="0"/>
    <s v="Modelycampaign"/>
    <n v="0.15571802706241816"/>
  </r>
  <r>
    <s v="P165"/>
    <x v="1"/>
    <s v="11-12-2024"/>
    <x v="5"/>
    <x v="18"/>
    <n v="3239"/>
    <n v="43"/>
    <n v="211"/>
    <n v="22673"/>
    <n v="22171"/>
    <n v="230"/>
    <x v="1"/>
    <x v="0"/>
    <x v="0"/>
    <s v="Modelycampaign"/>
    <n v="0.15405989502933004"/>
  </r>
  <r>
    <s v="P164"/>
    <x v="2"/>
    <s v="27-02-2025"/>
    <x v="5"/>
    <x v="17"/>
    <n v="4934"/>
    <n v="971"/>
    <n v="156"/>
    <n v="39472"/>
    <n v="39025"/>
    <n v="169"/>
    <x v="1"/>
    <x v="2"/>
    <x v="0"/>
    <s v="Sustainabilitydrive"/>
    <n v="0.15355188488042157"/>
  </r>
  <r>
    <s v="P262"/>
    <x v="2"/>
    <s v="18-01-2025"/>
    <x v="4"/>
    <x v="7"/>
    <n v="1206"/>
    <n v="238"/>
    <n v="36"/>
    <n v="9648"/>
    <n v="9417"/>
    <n v="237"/>
    <x v="1"/>
    <x v="0"/>
    <x v="0"/>
    <m/>
    <n v="0.15339966832504145"/>
  </r>
  <r>
    <s v="P147"/>
    <x v="0"/>
    <s v="21-10-2024"/>
    <x v="1"/>
    <x v="1"/>
    <n v="3256"/>
    <n v="459"/>
    <n v="266"/>
    <n v="26048"/>
    <n v="25529"/>
    <n v="143"/>
    <x v="1"/>
    <x v="0"/>
    <x v="0"/>
    <s v="Modelycampaign"/>
    <n v="0.15283323095823095"/>
  </r>
  <r>
    <s v="P004"/>
    <x v="0"/>
    <s v="12-08-2024"/>
    <x v="0"/>
    <x v="0"/>
    <n v="2404"/>
    <n v="363"/>
    <n v="138"/>
    <n v="19232"/>
    <n v="18636"/>
    <n v="128"/>
    <x v="0"/>
    <x v="0"/>
    <x v="0"/>
    <s v="Sustainabilitydrive"/>
    <n v="0.15105033277870217"/>
  </r>
  <r>
    <s v="P014"/>
    <x v="3"/>
    <s v="16-02-2025"/>
    <x v="0"/>
    <x v="14"/>
    <n v="4242"/>
    <n v="555"/>
    <n v="131"/>
    <n v="33936"/>
    <n v="33802"/>
    <n v="265"/>
    <x v="2"/>
    <x v="0"/>
    <x v="0"/>
    <m/>
    <n v="0.14521452145214522"/>
  </r>
  <r>
    <s v="P192"/>
    <x v="0"/>
    <s v="29-11-2024"/>
    <x v="2"/>
    <x v="3"/>
    <n v="1176"/>
    <n v="464"/>
    <n v="394"/>
    <n v="14112"/>
    <n v="13588"/>
    <n v="272"/>
    <x v="0"/>
    <x v="0"/>
    <x v="0"/>
    <m/>
    <n v="0.1441326530612245"/>
  </r>
  <r>
    <s v="P173"/>
    <x v="1"/>
    <s v="05-12-2024"/>
    <x v="2"/>
    <x v="20"/>
    <n v="1330"/>
    <n v="925"/>
    <n v="35"/>
    <n v="15960"/>
    <n v="15379"/>
    <n v="229"/>
    <x v="2"/>
    <x v="0"/>
    <x v="0"/>
    <s v="Fsdupdate"/>
    <n v="0.14348370927318296"/>
  </r>
  <r>
    <s v="P166"/>
    <x v="1"/>
    <s v="16-02-2025"/>
    <x v="1"/>
    <x v="10"/>
    <n v="1076"/>
    <n v="313"/>
    <n v="306"/>
    <n v="11836"/>
    <n v="11596"/>
    <n v="104"/>
    <x v="2"/>
    <x v="0"/>
    <x v="0"/>
    <s v="Cybertrucklaunch"/>
    <n v="0.14320716458262928"/>
  </r>
  <r>
    <s v="P207"/>
    <x v="1"/>
    <s v="29-12-2024"/>
    <x v="3"/>
    <x v="4"/>
    <n v="4274"/>
    <n v="340"/>
    <n v="281"/>
    <n v="34192"/>
    <n v="33446"/>
    <n v="129"/>
    <x v="1"/>
    <x v="4"/>
    <x v="0"/>
    <s v="Fsdupdate"/>
    <n v="0.14316214319138981"/>
  </r>
  <r>
    <s v="P061"/>
    <x v="1"/>
    <s v="05-09-2024"/>
    <x v="2"/>
    <x v="20"/>
    <n v="4886"/>
    <n v="983"/>
    <n v="409"/>
    <n v="43974"/>
    <n v="43239"/>
    <n v="65"/>
    <x v="1"/>
    <x v="0"/>
    <x v="0"/>
    <s v="Cybertrucklaunch"/>
    <n v="0.14276618001546368"/>
  </r>
  <r>
    <s v="P125"/>
    <x v="1"/>
    <s v="08-09-2024"/>
    <x v="3"/>
    <x v="4"/>
    <n v="3811"/>
    <n v="866"/>
    <n v="216"/>
    <n v="34299"/>
    <n v="34088"/>
    <n v="233"/>
    <x v="1"/>
    <x v="0"/>
    <x v="0"/>
    <s v="Sustainabilitydrive"/>
    <n v="0.14265722032712325"/>
  </r>
  <r>
    <s v="P272"/>
    <x v="0"/>
    <s v="27-03-2025"/>
    <x v="5"/>
    <x v="13"/>
    <n v="4941"/>
    <n v="414"/>
    <n v="266"/>
    <n v="39528"/>
    <n v="39154"/>
    <n v="217"/>
    <x v="1"/>
    <x v="0"/>
    <x v="0"/>
    <s v="Fsdupdate"/>
    <n v="0.14220299534507186"/>
  </r>
  <r>
    <s v="P040"/>
    <x v="1"/>
    <s v="07-03-2025"/>
    <x v="4"/>
    <x v="5"/>
    <n v="4750"/>
    <n v="151"/>
    <n v="415"/>
    <n v="38000"/>
    <n v="37792"/>
    <n v="299"/>
    <x v="0"/>
    <x v="0"/>
    <x v="0"/>
    <s v="Sustainabilitydrive"/>
    <n v="0.13989473684210527"/>
  </r>
  <r>
    <s v="P299"/>
    <x v="3"/>
    <s v="26-08-2024"/>
    <x v="4"/>
    <x v="11"/>
    <n v="2581"/>
    <n v="517"/>
    <n v="117"/>
    <n v="23229"/>
    <n v="22331"/>
    <n v="70"/>
    <x v="2"/>
    <x v="0"/>
    <x v="0"/>
    <s v="Fsdupdate"/>
    <n v="0.13840458048129492"/>
  </r>
  <r>
    <s v="P174"/>
    <x v="3"/>
    <s v="22-06-2024"/>
    <x v="5"/>
    <x v="16"/>
    <n v="3828"/>
    <n v="148"/>
    <n v="253"/>
    <n v="30624"/>
    <n v="30229"/>
    <n v="235"/>
    <x v="0"/>
    <x v="0"/>
    <x v="0"/>
    <m/>
    <n v="0.13809430512016718"/>
  </r>
  <r>
    <s v="P104"/>
    <x v="2"/>
    <s v="23-03-2025"/>
    <x v="0"/>
    <x v="23"/>
    <n v="3655"/>
    <n v="568"/>
    <n v="286"/>
    <n v="32895"/>
    <n v="32015"/>
    <n v="199"/>
    <x v="1"/>
    <x v="0"/>
    <x v="0"/>
    <s v="Fsdupdate"/>
    <n v="0.13707250341997265"/>
  </r>
  <r>
    <s v="P195"/>
    <x v="0"/>
    <s v="15-08-2024"/>
    <x v="3"/>
    <x v="12"/>
    <n v="914"/>
    <n v="464"/>
    <n v="246"/>
    <n v="11882"/>
    <n v="11500"/>
    <n v="282"/>
    <x v="2"/>
    <x v="3"/>
    <x v="1"/>
    <s v="Sustainabilitydrive"/>
    <n v="0.13667732704931829"/>
  </r>
  <r>
    <s v="P184"/>
    <x v="1"/>
    <s v="28-07-2024"/>
    <x v="4"/>
    <x v="5"/>
    <n v="3215"/>
    <n v="960"/>
    <n v="202"/>
    <n v="32150"/>
    <n v="31404"/>
    <n v="251"/>
    <x v="0"/>
    <x v="0"/>
    <x v="0"/>
    <s v="Cybertrucklaunch"/>
    <n v="0.13614307931570763"/>
  </r>
  <r>
    <s v="P092"/>
    <x v="1"/>
    <s v="21-10-2024"/>
    <x v="0"/>
    <x v="2"/>
    <n v="3801"/>
    <n v="967"/>
    <n v="401"/>
    <n v="38010"/>
    <n v="37625"/>
    <n v="236"/>
    <x v="2"/>
    <x v="0"/>
    <x v="0"/>
    <s v="Fsdupdate"/>
    <n v="0.13599052880820836"/>
  </r>
  <r>
    <s v="P088"/>
    <x v="3"/>
    <s v="07-07-2024"/>
    <x v="0"/>
    <x v="14"/>
    <n v="302"/>
    <n v="47"/>
    <n v="430"/>
    <n v="5738"/>
    <n v="4890"/>
    <n v="25"/>
    <x v="1"/>
    <x v="0"/>
    <x v="0"/>
    <s v="Sustainabilitydrive"/>
    <n v="0.13576158940397351"/>
  </r>
  <r>
    <s v="P285"/>
    <x v="2"/>
    <s v="18-07-2024"/>
    <x v="5"/>
    <x v="17"/>
    <n v="4021"/>
    <n v="794"/>
    <n v="77"/>
    <n v="36189"/>
    <n v="35505"/>
    <n v="174"/>
    <x v="0"/>
    <x v="0"/>
    <x v="0"/>
    <m/>
    <n v="0.13517919809886983"/>
  </r>
  <r>
    <s v="P050"/>
    <x v="2"/>
    <s v="03-07-2024"/>
    <x v="0"/>
    <x v="23"/>
    <n v="2754"/>
    <n v="130"/>
    <n v="90"/>
    <n v="22032"/>
    <n v="21288"/>
    <n v="112"/>
    <x v="1"/>
    <x v="0"/>
    <x v="0"/>
    <s v="Fsdupdate"/>
    <n v="0.13498547567175018"/>
  </r>
  <r>
    <s v="P132"/>
    <x v="0"/>
    <s v="04-03-2025"/>
    <x v="0"/>
    <x v="0"/>
    <n v="1947"/>
    <n v="842"/>
    <n v="101"/>
    <n v="21417"/>
    <n v="20967"/>
    <n v="186"/>
    <x v="2"/>
    <x v="0"/>
    <x v="0"/>
    <s v="Modelycampaign"/>
    <n v="0.13493953401503478"/>
  </r>
  <r>
    <s v="P229"/>
    <x v="0"/>
    <s v="03-07-2024"/>
    <x v="3"/>
    <x v="12"/>
    <n v="4799"/>
    <n v="694"/>
    <n v="289"/>
    <n v="43191"/>
    <n v="42228"/>
    <n v="118"/>
    <x v="1"/>
    <x v="0"/>
    <x v="0"/>
    <m/>
    <n v="0.13387048227640017"/>
  </r>
  <r>
    <s v="P074"/>
    <x v="2"/>
    <s v="28-10-2024"/>
    <x v="1"/>
    <x v="19"/>
    <n v="1855"/>
    <n v="200"/>
    <n v="174"/>
    <n v="16695"/>
    <n v="16330"/>
    <n v="123"/>
    <x v="1"/>
    <x v="0"/>
    <x v="0"/>
    <s v="Fsdupdate"/>
    <n v="0.13351302785265048"/>
  </r>
  <r>
    <s v="P254"/>
    <x v="1"/>
    <s v="14-01-2025"/>
    <x v="4"/>
    <x v="5"/>
    <n v="2692"/>
    <n v="115"/>
    <n v="64"/>
    <n v="21536"/>
    <n v="21120"/>
    <n v="224"/>
    <x v="2"/>
    <x v="0"/>
    <x v="0"/>
    <s v="Modelycampaign"/>
    <n v="0.13331166419019316"/>
  </r>
  <r>
    <s v="P131"/>
    <x v="0"/>
    <s v="21-10-2024"/>
    <x v="1"/>
    <x v="1"/>
    <n v="4840"/>
    <n v="658"/>
    <n v="211"/>
    <n v="43560"/>
    <n v="43225"/>
    <n v="57"/>
    <x v="2"/>
    <x v="0"/>
    <x v="0"/>
    <s v="Fsdupdate"/>
    <n v="0.13106060606060607"/>
  </r>
  <r>
    <s v="P236"/>
    <x v="3"/>
    <s v="19-08-2024"/>
    <x v="5"/>
    <x v="16"/>
    <n v="1257"/>
    <n v="19"/>
    <n v="351"/>
    <n v="12570"/>
    <n v="11660"/>
    <n v="194"/>
    <x v="2"/>
    <x v="2"/>
    <x v="2"/>
    <s v="Modelycampaign"/>
    <n v="0.12943516308671441"/>
  </r>
  <r>
    <s v="P114"/>
    <x v="1"/>
    <s v="14-11-2024"/>
    <x v="0"/>
    <x v="2"/>
    <n v="4000"/>
    <n v="689"/>
    <n v="488"/>
    <n v="40000"/>
    <n v="39569"/>
    <n v="44"/>
    <x v="2"/>
    <x v="0"/>
    <x v="0"/>
    <s v="Cybertrucklaunch"/>
    <n v="0.12942500000000001"/>
  </r>
  <r>
    <s v="P056"/>
    <x v="3"/>
    <s v="18-12-2024"/>
    <x v="3"/>
    <x v="21"/>
    <n v="2946"/>
    <n v="498"/>
    <n v="367"/>
    <n v="29460"/>
    <n v="28527"/>
    <n v="60"/>
    <x v="2"/>
    <x v="0"/>
    <x v="0"/>
    <s v="Fsdupdate"/>
    <n v="0.12936184657162253"/>
  </r>
  <r>
    <s v="P105"/>
    <x v="0"/>
    <s v="14-06-2024"/>
    <x v="3"/>
    <x v="12"/>
    <n v="498"/>
    <n v="38"/>
    <n v="42"/>
    <n v="4482"/>
    <n v="3647"/>
    <n v="32"/>
    <x v="2"/>
    <x v="0"/>
    <x v="0"/>
    <s v="Cybertrucklaunch"/>
    <n v="0.12896028558679162"/>
  </r>
  <r>
    <s v="P012"/>
    <x v="3"/>
    <s v="21-07-2024"/>
    <x v="1"/>
    <x v="22"/>
    <n v="1946"/>
    <n v="686"/>
    <n v="377"/>
    <n v="23352"/>
    <n v="22982"/>
    <n v="213"/>
    <x v="2"/>
    <x v="0"/>
    <x v="0"/>
    <s v="Fsdupdate"/>
    <n v="0.12885405960945528"/>
  </r>
  <r>
    <s v="P235"/>
    <x v="3"/>
    <s v="22-12-2024"/>
    <x v="4"/>
    <x v="11"/>
    <n v="3196"/>
    <n v="941"/>
    <n v="376"/>
    <n v="35156"/>
    <n v="34444"/>
    <n v="241"/>
    <x v="1"/>
    <x v="0"/>
    <x v="0"/>
    <s v="Fsdupdate"/>
    <n v="0.1283706906360223"/>
  </r>
  <r>
    <s v="P033"/>
    <x v="3"/>
    <s v="21-08-2024"/>
    <x v="4"/>
    <x v="11"/>
    <n v="1407"/>
    <n v="400"/>
    <n v="351"/>
    <n v="16884"/>
    <n v="15954"/>
    <n v="113"/>
    <x v="1"/>
    <x v="0"/>
    <x v="0"/>
    <s v="Cybertrucklaunch"/>
    <n v="0.12781331438047855"/>
  </r>
  <r>
    <s v="P038"/>
    <x v="2"/>
    <s v="17-02-2025"/>
    <x v="1"/>
    <x v="19"/>
    <n v="3138"/>
    <n v="123"/>
    <n v="291"/>
    <n v="28242"/>
    <n v="27550"/>
    <n v="87"/>
    <x v="1"/>
    <x v="0"/>
    <x v="0"/>
    <s v="Sustainabilitydrive"/>
    <n v="0.12577012959422137"/>
  </r>
  <r>
    <s v="P196"/>
    <x v="0"/>
    <s v="19-12-2024"/>
    <x v="5"/>
    <x v="13"/>
    <n v="1813"/>
    <n v="623"/>
    <n v="72"/>
    <n v="19943"/>
    <n v="18959"/>
    <n v="85"/>
    <x v="0"/>
    <x v="0"/>
    <x v="0"/>
    <s v="Fsdupdate"/>
    <n v="0.12575841147269717"/>
  </r>
  <r>
    <s v="P128"/>
    <x v="1"/>
    <s v="10-01-2025"/>
    <x v="4"/>
    <x v="5"/>
    <n v="3092"/>
    <n v="106"/>
    <n v="291"/>
    <n v="27828"/>
    <n v="27217"/>
    <n v="102"/>
    <x v="2"/>
    <x v="0"/>
    <x v="0"/>
    <m/>
    <n v="0.12537731780940059"/>
  </r>
  <r>
    <s v="P169"/>
    <x v="2"/>
    <s v="03-12-2024"/>
    <x v="2"/>
    <x v="15"/>
    <n v="3809"/>
    <n v="273"/>
    <n v="200"/>
    <n v="34281"/>
    <n v="33534"/>
    <n v="83"/>
    <x v="0"/>
    <x v="0"/>
    <x v="0"/>
    <s v="Cybertrucklaunch"/>
    <n v="0.12490884163239112"/>
  </r>
  <r>
    <s v="P293"/>
    <x v="3"/>
    <s v="14-05-2025"/>
    <x v="5"/>
    <x v="16"/>
    <n v="2634"/>
    <n v="726"/>
    <n v="241"/>
    <n v="28974"/>
    <n v="28102"/>
    <n v="277"/>
    <x v="0"/>
    <x v="0"/>
    <x v="0"/>
    <s v="Cybertrucklaunch"/>
    <n v="0.12428384068475185"/>
  </r>
  <r>
    <s v="P292"/>
    <x v="3"/>
    <s v="17-11-2024"/>
    <x v="5"/>
    <x v="16"/>
    <n v="880"/>
    <n v="297"/>
    <n v="345"/>
    <n v="12320"/>
    <n v="11978"/>
    <n v="238"/>
    <x v="1"/>
    <x v="2"/>
    <x v="0"/>
    <m/>
    <n v="0.12353896103896105"/>
  </r>
  <r>
    <s v="P212"/>
    <x v="2"/>
    <s v="03-03-2025"/>
    <x v="2"/>
    <x v="15"/>
    <n v="3874"/>
    <n v="884"/>
    <n v="19"/>
    <n v="38740"/>
    <n v="38552"/>
    <n v="219"/>
    <x v="1"/>
    <x v="0"/>
    <x v="0"/>
    <s v="Modelycampaign"/>
    <n v="0.123309241094476"/>
  </r>
  <r>
    <s v="P110"/>
    <x v="0"/>
    <s v="29-07-2024"/>
    <x v="1"/>
    <x v="1"/>
    <n v="3523"/>
    <n v="753"/>
    <n v="482"/>
    <n v="38753"/>
    <n v="38579"/>
    <n v="270"/>
    <x v="0"/>
    <x v="0"/>
    <x v="0"/>
    <s v="Modelycampaign"/>
    <n v="0.12277759141227776"/>
  </r>
  <r>
    <s v="P245"/>
    <x v="3"/>
    <s v="12-01-2025"/>
    <x v="1"/>
    <x v="22"/>
    <n v="4134"/>
    <n v="824"/>
    <n v="99"/>
    <n v="41340"/>
    <n v="41050"/>
    <n v="177"/>
    <x v="0"/>
    <x v="0"/>
    <x v="0"/>
    <s v="Cybertrucklaunch"/>
    <n v="0.12232704402515723"/>
  </r>
  <r>
    <s v="P075"/>
    <x v="0"/>
    <s v="01-08-2024"/>
    <x v="1"/>
    <x v="1"/>
    <n v="1674"/>
    <n v="929"/>
    <n v="37"/>
    <n v="21762"/>
    <n v="20998"/>
    <n v="255"/>
    <x v="1"/>
    <x v="0"/>
    <x v="0"/>
    <s v="Sustainabilitydrive"/>
    <n v="0.12131237937689551"/>
  </r>
  <r>
    <s v="P255"/>
    <x v="3"/>
    <s v="03-04-2025"/>
    <x v="0"/>
    <x v="14"/>
    <n v="3767"/>
    <n v="514"/>
    <n v="238"/>
    <n v="37670"/>
    <n v="36807"/>
    <n v="226"/>
    <x v="2"/>
    <x v="0"/>
    <x v="0"/>
    <s v="Sustainabilitydrive"/>
    <n v="0.11996283514733209"/>
  </r>
  <r>
    <s v="P071"/>
    <x v="2"/>
    <s v="02-09-2024"/>
    <x v="3"/>
    <x v="6"/>
    <n v="2551"/>
    <n v="915"/>
    <n v="205"/>
    <n v="30612"/>
    <n v="30360"/>
    <n v="227"/>
    <x v="1"/>
    <x v="0"/>
    <x v="0"/>
    <s v="Modelycampaign"/>
    <n v="0.1199202926956749"/>
  </r>
  <r>
    <s v="P065"/>
    <x v="0"/>
    <s v="28-03-2025"/>
    <x v="0"/>
    <x v="0"/>
    <n v="1881"/>
    <n v="501"/>
    <n v="99"/>
    <n v="20691"/>
    <n v="19987"/>
    <n v="289"/>
    <x v="0"/>
    <x v="0"/>
    <x v="0"/>
    <m/>
    <n v="0.11990720603160794"/>
  </r>
  <r>
    <s v="P247"/>
    <x v="3"/>
    <s v="27-08-2024"/>
    <x v="1"/>
    <x v="22"/>
    <n v="3960"/>
    <n v="266"/>
    <n v="8"/>
    <n v="35640"/>
    <n v="34850"/>
    <n v="208"/>
    <x v="2"/>
    <x v="5"/>
    <x v="3"/>
    <m/>
    <n v="0.11879910213243547"/>
  </r>
  <r>
    <s v="P035"/>
    <x v="0"/>
    <s v="30-11-2024"/>
    <x v="2"/>
    <x v="3"/>
    <n v="3775"/>
    <n v="16"/>
    <n v="239"/>
    <n v="33975"/>
    <n v="33310"/>
    <n v="271"/>
    <x v="2"/>
    <x v="0"/>
    <x v="0"/>
    <s v="Modelycampaign"/>
    <n v="0.11861662987490802"/>
  </r>
  <r>
    <s v="P117"/>
    <x v="1"/>
    <s v="04-11-2024"/>
    <x v="4"/>
    <x v="5"/>
    <n v="1606"/>
    <n v="451"/>
    <n v="405"/>
    <n v="20878"/>
    <n v="20190"/>
    <n v="219"/>
    <x v="0"/>
    <x v="0"/>
    <x v="0"/>
    <s v="Sustainabilitydrive"/>
    <n v="0.11792317271769326"/>
  </r>
  <r>
    <s v="P251"/>
    <x v="0"/>
    <s v="27-03-2025"/>
    <x v="3"/>
    <x v="12"/>
    <n v="1377"/>
    <n v="796"/>
    <n v="387"/>
    <n v="22032"/>
    <n v="21869"/>
    <n v="189"/>
    <x v="2"/>
    <x v="0"/>
    <x v="0"/>
    <m/>
    <n v="0.11619462599854757"/>
  </r>
  <r>
    <s v="P011"/>
    <x v="0"/>
    <s v="02-02-2025"/>
    <x v="0"/>
    <x v="0"/>
    <n v="1792"/>
    <n v="614"/>
    <n v="497"/>
    <n v="25088"/>
    <n v="24675"/>
    <n v="65"/>
    <x v="2"/>
    <x v="0"/>
    <x v="0"/>
    <s v="Sustainabilitydrive"/>
    <n v="0.11571269132653061"/>
  </r>
  <r>
    <s v="P161"/>
    <x v="1"/>
    <s v="19-02-2025"/>
    <x v="5"/>
    <x v="18"/>
    <n v="4671"/>
    <n v="876"/>
    <n v="366"/>
    <n v="51381"/>
    <n v="50565"/>
    <n v="245"/>
    <x v="1"/>
    <x v="0"/>
    <x v="0"/>
    <s v="Sustainabilitydrive"/>
    <n v="0.11508145034156594"/>
  </r>
  <r>
    <s v="P155"/>
    <x v="2"/>
    <s v="21-12-2024"/>
    <x v="4"/>
    <x v="7"/>
    <n v="2283"/>
    <n v="210"/>
    <n v="130"/>
    <n v="22830"/>
    <n v="22617"/>
    <n v="143"/>
    <x v="2"/>
    <x v="0"/>
    <x v="0"/>
    <s v="Modelycampaign"/>
    <n v="0.11489268506351293"/>
  </r>
  <r>
    <s v="P284"/>
    <x v="1"/>
    <s v="17-09-2024"/>
    <x v="5"/>
    <x v="18"/>
    <n v="571"/>
    <n v="190"/>
    <n v="352"/>
    <n v="9707"/>
    <n v="9418"/>
    <n v="231"/>
    <x v="1"/>
    <x v="0"/>
    <x v="0"/>
    <s v="Sustainabilitydrive"/>
    <n v="0.11465952405480581"/>
  </r>
  <r>
    <s v="P113"/>
    <x v="1"/>
    <s v="02-10-2024"/>
    <x v="3"/>
    <x v="4"/>
    <n v="4419"/>
    <n v="236"/>
    <n v="369"/>
    <n v="44190"/>
    <n v="43582"/>
    <n v="10"/>
    <x v="0"/>
    <x v="0"/>
    <x v="0"/>
    <s v="Cybertrucklaunch"/>
    <n v="0.11369088028965829"/>
  </r>
  <r>
    <s v="P158"/>
    <x v="0"/>
    <s v="11-08-2024"/>
    <x v="0"/>
    <x v="0"/>
    <n v="1762"/>
    <n v="405"/>
    <n v="423"/>
    <n v="22906"/>
    <n v="21925"/>
    <n v="25"/>
    <x v="1"/>
    <x v="0"/>
    <x v="0"/>
    <s v="Cybertrucklaunch"/>
    <n v="0.11307081114118571"/>
  </r>
  <r>
    <s v="P098"/>
    <x v="1"/>
    <s v="10-06-2024"/>
    <x v="0"/>
    <x v="2"/>
    <n v="1575"/>
    <n v="771"/>
    <n v="486"/>
    <n v="25200"/>
    <n v="24826"/>
    <n v="17"/>
    <x v="2"/>
    <x v="0"/>
    <x v="0"/>
    <s v="Sustainabilitydrive"/>
    <n v="0.11238095238095239"/>
  </r>
  <r>
    <s v="P227"/>
    <x v="0"/>
    <s v="12-06-2024"/>
    <x v="5"/>
    <x v="13"/>
    <n v="246"/>
    <n v="149"/>
    <n v="130"/>
    <n v="4674"/>
    <n v="4390"/>
    <n v="217"/>
    <x v="2"/>
    <x v="0"/>
    <x v="0"/>
    <s v="Fsdupdate"/>
    <n v="0.11232349165596919"/>
  </r>
  <r>
    <s v="P222"/>
    <x v="3"/>
    <s v="08-10-2024"/>
    <x v="1"/>
    <x v="22"/>
    <n v="1814"/>
    <n v="653"/>
    <n v="363"/>
    <n v="25396"/>
    <n v="25286"/>
    <n v="39"/>
    <x v="2"/>
    <x v="4"/>
    <x v="0"/>
    <s v="Cybertrucklaunch"/>
    <n v="0.11143487163332809"/>
  </r>
  <r>
    <s v="P278"/>
    <x v="1"/>
    <s v="26-11-2024"/>
    <x v="5"/>
    <x v="18"/>
    <n v="4516"/>
    <n v="836"/>
    <n v="169"/>
    <n v="49676"/>
    <n v="49257"/>
    <n v="282"/>
    <x v="0"/>
    <x v="0"/>
    <x v="0"/>
    <s v="Sustainabilitydrive"/>
    <n v="0.11114018842096787"/>
  </r>
  <r>
    <s v="P151"/>
    <x v="0"/>
    <s v="26-07-2024"/>
    <x v="4"/>
    <x v="9"/>
    <n v="3559"/>
    <n v="59"/>
    <n v="289"/>
    <n v="35590"/>
    <n v="35105"/>
    <n v="122"/>
    <x v="0"/>
    <x v="0"/>
    <x v="0"/>
    <s v="Cybertrucklaunch"/>
    <n v="0.10977802753582468"/>
  </r>
  <r>
    <s v="P156"/>
    <x v="3"/>
    <s v="22-10-2024"/>
    <x v="3"/>
    <x v="21"/>
    <n v="3352"/>
    <n v="941"/>
    <n v="482"/>
    <n v="43576"/>
    <n v="43338"/>
    <n v="240"/>
    <x v="2"/>
    <x v="0"/>
    <x v="0"/>
    <s v="Modelycampaign"/>
    <n v="0.1095786671562328"/>
  </r>
  <r>
    <s v="P157"/>
    <x v="2"/>
    <s v="23-07-2024"/>
    <x v="0"/>
    <x v="23"/>
    <n v="4775"/>
    <n v="173"/>
    <n v="206"/>
    <n v="47750"/>
    <n v="47544"/>
    <n v="187"/>
    <x v="2"/>
    <x v="0"/>
    <x v="0"/>
    <s v="Modelycampaign"/>
    <n v="0.10793717277486911"/>
  </r>
  <r>
    <s v="P206"/>
    <x v="1"/>
    <s v="24-06-2024"/>
    <x v="5"/>
    <x v="18"/>
    <n v="941"/>
    <n v="121"/>
    <n v="458"/>
    <n v="14115"/>
    <n v="13838"/>
    <n v="87"/>
    <x v="0"/>
    <x v="0"/>
    <x v="0"/>
    <s v="Cybertrucklaunch"/>
    <n v="0.10768685795253277"/>
  </r>
  <r>
    <s v="P282"/>
    <x v="0"/>
    <s v="03-10-2024"/>
    <x v="2"/>
    <x v="3"/>
    <n v="1488"/>
    <n v="417"/>
    <n v="168"/>
    <n v="19344"/>
    <n v="18395"/>
    <n v="30"/>
    <x v="2"/>
    <x v="0"/>
    <x v="0"/>
    <s v="Fsdupdate"/>
    <n v="0.1071650124069479"/>
  </r>
  <r>
    <s v="P049"/>
    <x v="1"/>
    <s v="10-06-2024"/>
    <x v="0"/>
    <x v="2"/>
    <n v="2164"/>
    <n v="549"/>
    <n v="274"/>
    <n v="28132"/>
    <n v="27361"/>
    <n v="177"/>
    <x v="1"/>
    <x v="0"/>
    <x v="0"/>
    <s v="Sustainabilitydrive"/>
    <n v="0.10617801791554102"/>
  </r>
  <r>
    <s v="P205"/>
    <x v="1"/>
    <s v="24-04-2025"/>
    <x v="2"/>
    <x v="20"/>
    <n v="3820"/>
    <n v="697"/>
    <n v="268"/>
    <n v="45840"/>
    <n v="45631"/>
    <n v="171"/>
    <x v="1"/>
    <x v="4"/>
    <x v="0"/>
    <s v="Sustainabilitydrive"/>
    <n v="0.1043848167539267"/>
  </r>
  <r>
    <s v="P008"/>
    <x v="2"/>
    <s v="13-07-2024"/>
    <x v="4"/>
    <x v="7"/>
    <n v="3929"/>
    <n v="262"/>
    <n v="278"/>
    <n v="43219"/>
    <n v="42841"/>
    <n v="39"/>
    <x v="0"/>
    <x v="0"/>
    <x v="0"/>
    <s v="Sustainabilitydrive"/>
    <n v="0.10340359564080613"/>
  </r>
  <r>
    <s v="P096"/>
    <x v="1"/>
    <s v="10-09-2024"/>
    <x v="4"/>
    <x v="5"/>
    <n v="1238"/>
    <n v="366"/>
    <n v="444"/>
    <n v="19808"/>
    <n v="19334"/>
    <n v="123"/>
    <x v="2"/>
    <x v="0"/>
    <x v="0"/>
    <m/>
    <n v="0.10339256865912763"/>
  </r>
  <r>
    <s v="P018"/>
    <x v="0"/>
    <s v="19-08-2024"/>
    <x v="1"/>
    <x v="1"/>
    <n v="3000"/>
    <n v="382"/>
    <n v="325"/>
    <n v="36000"/>
    <n v="35819"/>
    <n v="19"/>
    <x v="2"/>
    <x v="0"/>
    <x v="0"/>
    <s v="Cybertrucklaunch"/>
    <n v="0.10297222222222223"/>
  </r>
  <r>
    <s v="P182"/>
    <x v="3"/>
    <s v="31-07-2024"/>
    <x v="4"/>
    <x v="11"/>
    <n v="4689"/>
    <n v="134"/>
    <n v="403"/>
    <n v="51579"/>
    <n v="50924"/>
    <n v="173"/>
    <x v="1"/>
    <x v="0"/>
    <x v="0"/>
    <s v="Sustainabilitydrive"/>
    <n v="0.10132030477519921"/>
  </r>
  <r>
    <s v="P266"/>
    <x v="3"/>
    <s v="25-11-2024"/>
    <x v="0"/>
    <x v="14"/>
    <n v="4182"/>
    <n v="640"/>
    <n v="240"/>
    <n v="50184"/>
    <n v="49351"/>
    <n v="10"/>
    <x v="1"/>
    <x v="0"/>
    <x v="0"/>
    <s v="Fsdupdate"/>
    <n v="0.10086880280567512"/>
  </r>
  <r>
    <s v="P019"/>
    <x v="0"/>
    <s v="23-06-2024"/>
    <x v="2"/>
    <x v="3"/>
    <n v="1071"/>
    <n v="519"/>
    <n v="22"/>
    <n v="16065"/>
    <n v="15865"/>
    <n v="103"/>
    <x v="1"/>
    <x v="0"/>
    <x v="0"/>
    <s v="Sustainabilitydrive"/>
    <n v="0.10034235916588857"/>
  </r>
  <r>
    <s v="P108"/>
    <x v="1"/>
    <s v="25-03-2025"/>
    <x v="2"/>
    <x v="20"/>
    <n v="4050"/>
    <n v="871"/>
    <n v="347"/>
    <n v="52650"/>
    <n v="51755"/>
    <n v="209"/>
    <x v="1"/>
    <x v="0"/>
    <x v="0"/>
    <s v="Modelycampaign"/>
    <n v="0.10005698005698006"/>
  </r>
  <r>
    <s v="P126"/>
    <x v="0"/>
    <s v="28-03-2025"/>
    <x v="3"/>
    <x v="12"/>
    <n v="4158"/>
    <n v="167"/>
    <n v="241"/>
    <n v="45738"/>
    <n v="45183"/>
    <n v="142"/>
    <x v="2"/>
    <x v="0"/>
    <x v="0"/>
    <m/>
    <n v="9.9829463465827106E-2"/>
  </r>
  <r>
    <s v="P103"/>
    <x v="3"/>
    <s v="11-06-2024"/>
    <x v="4"/>
    <x v="11"/>
    <n v="3689"/>
    <n v="48"/>
    <n v="306"/>
    <n v="40579"/>
    <n v="39588"/>
    <n v="212"/>
    <x v="0"/>
    <x v="0"/>
    <x v="0"/>
    <s v="Modelycampaign"/>
    <n v="9.9632815002833983E-2"/>
  </r>
  <r>
    <s v="P191"/>
    <x v="2"/>
    <s v="03-12-2024"/>
    <x v="0"/>
    <x v="23"/>
    <n v="4285"/>
    <n v="886"/>
    <n v="376"/>
    <n v="55705"/>
    <n v="55556"/>
    <n v="51"/>
    <x v="2"/>
    <x v="0"/>
    <x v="0"/>
    <s v="Fsdupdate"/>
    <n v="9.9578134817341346E-2"/>
  </r>
  <r>
    <s v="P193"/>
    <x v="1"/>
    <s v="11-09-2024"/>
    <x v="4"/>
    <x v="5"/>
    <n v="4858"/>
    <n v="317"/>
    <n v="129"/>
    <n v="53438"/>
    <n v="52687"/>
    <n v="223"/>
    <x v="0"/>
    <x v="0"/>
    <x v="0"/>
    <s v="Fsdupdate"/>
    <n v="9.9255211647142488E-2"/>
  </r>
  <r>
    <s v="P167"/>
    <x v="0"/>
    <s v="28-11-2024"/>
    <x v="5"/>
    <x v="13"/>
    <n v="4771"/>
    <n v="818"/>
    <n v="56"/>
    <n v="57252"/>
    <n v="56378"/>
    <n v="150"/>
    <x v="2"/>
    <x v="0"/>
    <x v="0"/>
    <m/>
    <n v="9.859917557465242E-2"/>
  </r>
  <r>
    <s v="P044"/>
    <x v="1"/>
    <s v="02-03-2025"/>
    <x v="4"/>
    <x v="5"/>
    <n v="2358"/>
    <n v="784"/>
    <n v="344"/>
    <n v="35370"/>
    <n v="34475"/>
    <n v="216"/>
    <x v="1"/>
    <x v="0"/>
    <x v="0"/>
    <m/>
    <n v="9.8558100084817649E-2"/>
  </r>
  <r>
    <s v="P171"/>
    <x v="2"/>
    <s v="31-12-2024"/>
    <x v="2"/>
    <x v="15"/>
    <n v="1018"/>
    <n v="447"/>
    <n v="332"/>
    <n v="18324"/>
    <n v="18164"/>
    <n v="38"/>
    <x v="2"/>
    <x v="0"/>
    <x v="0"/>
    <s v="Modelycampaign"/>
    <n v="9.8068107400130972E-2"/>
  </r>
  <r>
    <s v="P273"/>
    <x v="2"/>
    <s v="12-10-2024"/>
    <x v="0"/>
    <x v="23"/>
    <n v="3641"/>
    <n v="226"/>
    <n v="46"/>
    <n v="40051"/>
    <n v="39319"/>
    <n v="296"/>
    <x v="0"/>
    <x v="0"/>
    <x v="0"/>
    <s v="Sustainabilitydrive"/>
    <n v="9.7700431949264685E-2"/>
  </r>
  <r>
    <s v="P243"/>
    <x v="1"/>
    <s v="06-03-2025"/>
    <x v="4"/>
    <x v="5"/>
    <n v="3592"/>
    <n v="911"/>
    <n v="375"/>
    <n v="50288"/>
    <n v="49490"/>
    <n v="32"/>
    <x v="2"/>
    <x v="0"/>
    <x v="0"/>
    <s v="Sustainabilitydrive"/>
    <n v="9.7001272669424113E-2"/>
  </r>
  <r>
    <s v="P185"/>
    <x v="0"/>
    <s v="11-01-2025"/>
    <x v="3"/>
    <x v="12"/>
    <n v="4523"/>
    <n v="61"/>
    <n v="157"/>
    <n v="49753"/>
    <n v="49329"/>
    <n v="71"/>
    <x v="0"/>
    <x v="0"/>
    <x v="0"/>
    <m/>
    <n v="9.5290736237010829E-2"/>
  </r>
  <r>
    <s v="P081"/>
    <x v="0"/>
    <s v="19-10-2024"/>
    <x v="0"/>
    <x v="0"/>
    <n v="1816"/>
    <n v="29"/>
    <n v="41"/>
    <n v="19976"/>
    <n v="19262"/>
    <n v="283"/>
    <x v="1"/>
    <x v="0"/>
    <x v="0"/>
    <s v="Fsdupdate"/>
    <n v="9.4413295955146179E-2"/>
  </r>
  <r>
    <s v="P017"/>
    <x v="3"/>
    <s v="05-05-2025"/>
    <x v="5"/>
    <x v="16"/>
    <n v="4441"/>
    <n v="511"/>
    <n v="70"/>
    <n v="53292"/>
    <n v="53082"/>
    <n v="159"/>
    <x v="0"/>
    <x v="0"/>
    <x v="0"/>
    <s v="Sustainabilitydrive"/>
    <n v="9.4235532537716729E-2"/>
  </r>
  <r>
    <s v="P139"/>
    <x v="2"/>
    <s v="29-10-2024"/>
    <x v="5"/>
    <x v="17"/>
    <n v="2746"/>
    <n v="156"/>
    <n v="203"/>
    <n v="32952"/>
    <n v="32147"/>
    <n v="147"/>
    <x v="0"/>
    <x v="0"/>
    <x v="0"/>
    <s v="Cybertrucklaunch"/>
    <n v="9.422796795338674E-2"/>
  </r>
  <r>
    <s v="P069"/>
    <x v="1"/>
    <s v="08-03-2025"/>
    <x v="5"/>
    <x v="18"/>
    <n v="1292"/>
    <n v="626"/>
    <n v="496"/>
    <n v="25840"/>
    <n v="24916"/>
    <n v="149"/>
    <x v="2"/>
    <x v="0"/>
    <x v="0"/>
    <s v="Fsdupdate"/>
    <n v="9.3421052631578946E-2"/>
  </r>
  <r>
    <s v="P059"/>
    <x v="0"/>
    <s v="22-06-2024"/>
    <x v="5"/>
    <x v="13"/>
    <n v="2180"/>
    <n v="263"/>
    <n v="387"/>
    <n v="30520"/>
    <n v="30059"/>
    <n v="174"/>
    <x v="0"/>
    <x v="0"/>
    <x v="0"/>
    <m/>
    <n v="9.2726081258191345E-2"/>
  </r>
  <r>
    <s v="P100"/>
    <x v="2"/>
    <s v="10-02-2025"/>
    <x v="2"/>
    <x v="15"/>
    <n v="1766"/>
    <n v="92"/>
    <n v="424"/>
    <n v="24724"/>
    <n v="24333"/>
    <n v="52"/>
    <x v="0"/>
    <x v="0"/>
    <x v="0"/>
    <m/>
    <n v="9.2298980747451867E-2"/>
  </r>
  <r>
    <s v="P055"/>
    <x v="3"/>
    <s v="17-06-2024"/>
    <x v="4"/>
    <x v="11"/>
    <n v="1226"/>
    <n v="119"/>
    <n v="7"/>
    <n v="14712"/>
    <n v="14049"/>
    <n v="123"/>
    <x v="0"/>
    <x v="0"/>
    <x v="0"/>
    <s v="Sustainabilitydrive"/>
    <n v="9.1897770527460579E-2"/>
  </r>
  <r>
    <s v="P177"/>
    <x v="0"/>
    <s v="10-07-2024"/>
    <x v="3"/>
    <x v="12"/>
    <n v="3099"/>
    <n v="694"/>
    <n v="171"/>
    <n v="43386"/>
    <n v="42921"/>
    <n v="52"/>
    <x v="1"/>
    <x v="0"/>
    <x v="0"/>
    <s v="Fsdupdate"/>
    <n v="9.1365878393951966E-2"/>
  </r>
  <r>
    <s v="P160"/>
    <x v="1"/>
    <s v="24-08-2024"/>
    <x v="2"/>
    <x v="20"/>
    <n v="1082"/>
    <n v="209"/>
    <n v="484"/>
    <n v="19476"/>
    <n v="18654"/>
    <n v="20"/>
    <x v="1"/>
    <x v="0"/>
    <x v="0"/>
    <m/>
    <n v="9.1137810638734856E-2"/>
  </r>
  <r>
    <s v="P001"/>
    <x v="1"/>
    <s v="23-12-2024"/>
    <x v="1"/>
    <x v="10"/>
    <n v="1461"/>
    <n v="184"/>
    <n v="344"/>
    <n v="21915"/>
    <n v="21675"/>
    <n v="15"/>
    <x v="2"/>
    <x v="2"/>
    <x v="0"/>
    <s v="Cybertrucklaunch"/>
    <n v="9.0759753593429152E-2"/>
  </r>
  <r>
    <s v="P201"/>
    <x v="1"/>
    <s v="15-01-2025"/>
    <x v="1"/>
    <x v="10"/>
    <n v="802"/>
    <n v="262"/>
    <n v="244"/>
    <n v="14436"/>
    <n v="14280"/>
    <n v="49"/>
    <x v="0"/>
    <x v="0"/>
    <x v="0"/>
    <s v="Cybertrucklaunch"/>
    <n v="9.0606816292601824E-2"/>
  </r>
  <r>
    <s v="P180"/>
    <x v="2"/>
    <s v="03-12-2024"/>
    <x v="5"/>
    <x v="17"/>
    <n v="3711"/>
    <n v="352"/>
    <n v="290"/>
    <n v="48243"/>
    <n v="47579"/>
    <n v="11"/>
    <x v="1"/>
    <x v="0"/>
    <x v="0"/>
    <s v="Cybertrucklaunch"/>
    <n v="9.023070704558174E-2"/>
  </r>
  <r>
    <s v="P026"/>
    <x v="2"/>
    <s v="05-04-2025"/>
    <x v="1"/>
    <x v="19"/>
    <n v="3009"/>
    <n v="413"/>
    <n v="358"/>
    <n v="42126"/>
    <n v="41309"/>
    <n v="211"/>
    <x v="2"/>
    <x v="0"/>
    <x v="0"/>
    <s v="Modelycampaign"/>
    <n v="8.9730807577268201E-2"/>
  </r>
  <r>
    <s v="P130"/>
    <x v="2"/>
    <s v="29-09-2024"/>
    <x v="1"/>
    <x v="19"/>
    <n v="2936"/>
    <n v="439"/>
    <n v="44"/>
    <n v="38168"/>
    <n v="37571"/>
    <n v="22"/>
    <x v="0"/>
    <x v="0"/>
    <x v="0"/>
    <s v="Sustainabilitydrive"/>
    <n v="8.9577656675749323E-2"/>
  </r>
  <r>
    <s v="P079"/>
    <x v="0"/>
    <s v="09-10-2024"/>
    <x v="3"/>
    <x v="12"/>
    <n v="3068"/>
    <n v="137"/>
    <n v="329"/>
    <n v="39884"/>
    <n v="39404"/>
    <n v="266"/>
    <x v="0"/>
    <x v="0"/>
    <x v="0"/>
    <s v="Modelycampaign"/>
    <n v="8.860696018453515E-2"/>
  </r>
  <r>
    <s v="P072"/>
    <x v="2"/>
    <s v="03-03-2025"/>
    <x v="1"/>
    <x v="19"/>
    <n v="296"/>
    <n v="60"/>
    <n v="141"/>
    <n v="5624"/>
    <n v="5239"/>
    <n v="88"/>
    <x v="0"/>
    <x v="0"/>
    <x v="0"/>
    <s v="Modelycampaign"/>
    <n v="8.837126600284495E-2"/>
  </r>
  <r>
    <s v="P009"/>
    <x v="3"/>
    <s v="30-08-2024"/>
    <x v="5"/>
    <x v="16"/>
    <n v="3784"/>
    <n v="808"/>
    <n v="404"/>
    <n v="56760"/>
    <n v="56343"/>
    <n v="131"/>
    <x v="1"/>
    <x v="0"/>
    <x v="0"/>
    <s v="Modelycampaign"/>
    <n v="8.8019732205778717E-2"/>
  </r>
  <r>
    <s v="P260"/>
    <x v="0"/>
    <s v="12-02-2025"/>
    <x v="0"/>
    <x v="0"/>
    <n v="4332"/>
    <n v="771"/>
    <n v="219"/>
    <n v="60648"/>
    <n v="60397"/>
    <n v="10"/>
    <x v="1"/>
    <x v="5"/>
    <x v="3"/>
    <s v="Fsdupdate"/>
    <n v="8.7752275425405618E-2"/>
  </r>
  <r>
    <s v="P249"/>
    <x v="1"/>
    <s v="18-07-2024"/>
    <x v="4"/>
    <x v="5"/>
    <n v="827"/>
    <n v="77"/>
    <n v="402"/>
    <n v="14886"/>
    <n v="14129"/>
    <n v="254"/>
    <x v="0"/>
    <x v="0"/>
    <x v="0"/>
    <s v="Modelycampaign"/>
    <n v="8.7733440816874911E-2"/>
  </r>
  <r>
    <s v="P097"/>
    <x v="0"/>
    <s v="13-08-2024"/>
    <x v="4"/>
    <x v="9"/>
    <n v="4739"/>
    <n v="527"/>
    <n v="135"/>
    <n v="61607"/>
    <n v="61333"/>
    <n v="36"/>
    <x v="1"/>
    <x v="2"/>
    <x v="0"/>
    <s v="Modelycampaign"/>
    <n v="8.7668609086629767E-2"/>
  </r>
  <r>
    <s v="P253"/>
    <x v="1"/>
    <s v="03-08-2024"/>
    <x v="1"/>
    <x v="10"/>
    <n v="3791"/>
    <n v="593"/>
    <n v="228"/>
    <n v="53074"/>
    <n v="52613"/>
    <n v="205"/>
    <x v="0"/>
    <x v="0"/>
    <x v="0"/>
    <m/>
    <n v="8.6897539284772202E-2"/>
  </r>
  <r>
    <s v="P084"/>
    <x v="3"/>
    <s v="09-12-2024"/>
    <x v="4"/>
    <x v="11"/>
    <n v="1841"/>
    <n v="851"/>
    <n v="342"/>
    <n v="34979"/>
    <n v="34154"/>
    <n v="255"/>
    <x v="2"/>
    <x v="0"/>
    <x v="0"/>
    <s v="Sustainabilitydrive"/>
    <n v="8.6737756939878216E-2"/>
  </r>
  <r>
    <s v="P162"/>
    <x v="3"/>
    <s v="01-04-2025"/>
    <x v="0"/>
    <x v="14"/>
    <n v="3430"/>
    <n v="566"/>
    <n v="164"/>
    <n v="48020"/>
    <n v="47305"/>
    <n v="120"/>
    <x v="2"/>
    <x v="0"/>
    <x v="0"/>
    <m/>
    <n v="8.6630570595585168E-2"/>
  </r>
  <r>
    <s v="P208"/>
    <x v="2"/>
    <s v="24-06-2024"/>
    <x v="2"/>
    <x v="15"/>
    <n v="2949"/>
    <n v="476"/>
    <n v="403"/>
    <n v="44235"/>
    <n v="43705"/>
    <n v="135"/>
    <x v="1"/>
    <x v="0"/>
    <x v="0"/>
    <s v="Modelycampaign"/>
    <n v="8.6537809426924378E-2"/>
  </r>
  <r>
    <s v="P240"/>
    <x v="1"/>
    <s v="26-08-2024"/>
    <x v="3"/>
    <x v="4"/>
    <n v="929"/>
    <n v="192"/>
    <n v="322"/>
    <n v="16722"/>
    <n v="15996"/>
    <n v="145"/>
    <x v="0"/>
    <x v="3"/>
    <x v="1"/>
    <s v="Fsdupdate"/>
    <n v="8.6293505561535699E-2"/>
  </r>
  <r>
    <s v="P231"/>
    <x v="0"/>
    <s v="01-05-2025"/>
    <x v="5"/>
    <x v="13"/>
    <n v="1430"/>
    <n v="376"/>
    <n v="33"/>
    <n v="21450"/>
    <n v="20509"/>
    <n v="251"/>
    <x v="2"/>
    <x v="0"/>
    <x v="0"/>
    <s v="Cybertrucklaunch"/>
    <n v="8.5734265734265735E-2"/>
  </r>
  <r>
    <s v="P106"/>
    <x v="0"/>
    <s v="04-02-2025"/>
    <x v="4"/>
    <x v="9"/>
    <n v="4619"/>
    <n v="821"/>
    <n v="499"/>
    <n v="69285"/>
    <n v="69141"/>
    <n v="298"/>
    <x v="1"/>
    <x v="0"/>
    <x v="0"/>
    <s v="Sustainabilitydrive"/>
    <n v="8.5718409468138843E-2"/>
  </r>
  <r>
    <s v="P082"/>
    <x v="0"/>
    <s v="24-07-2024"/>
    <x v="4"/>
    <x v="9"/>
    <n v="725"/>
    <n v="88"/>
    <n v="428"/>
    <n v="14500"/>
    <n v="13637"/>
    <n v="200"/>
    <x v="2"/>
    <x v="3"/>
    <x v="1"/>
    <s v="Fsdupdate"/>
    <n v="8.558620689655172E-2"/>
  </r>
  <r>
    <s v="P199"/>
    <x v="2"/>
    <s v="30-11-2024"/>
    <x v="3"/>
    <x v="6"/>
    <n v="2509"/>
    <n v="324"/>
    <n v="171"/>
    <n v="35126"/>
    <n v="34685"/>
    <n v="277"/>
    <x v="1"/>
    <x v="0"/>
    <x v="0"/>
    <s v="Modelycampaign"/>
    <n v="8.5520696919660646E-2"/>
  </r>
  <r>
    <s v="P188"/>
    <x v="2"/>
    <s v="06-06-2024"/>
    <x v="1"/>
    <x v="19"/>
    <n v="2728"/>
    <n v="533"/>
    <n v="215"/>
    <n v="40920"/>
    <n v="40816"/>
    <n v="137"/>
    <x v="2"/>
    <x v="0"/>
    <x v="0"/>
    <s v="Modelycampaign"/>
    <n v="8.4946236559139784E-2"/>
  </r>
  <r>
    <s v="P186"/>
    <x v="3"/>
    <s v="24-08-2024"/>
    <x v="3"/>
    <x v="21"/>
    <n v="4292"/>
    <n v="51"/>
    <n v="392"/>
    <n v="55796"/>
    <n v="54826"/>
    <n v="264"/>
    <x v="0"/>
    <x v="0"/>
    <x v="0"/>
    <s v="Fsdupdate"/>
    <n v="8.4862714173059003E-2"/>
  </r>
  <r>
    <s v="P194"/>
    <x v="2"/>
    <s v="02-10-2024"/>
    <x v="0"/>
    <x v="23"/>
    <n v="4350"/>
    <n v="771"/>
    <n v="7"/>
    <n v="60900"/>
    <n v="60592"/>
    <n v="195"/>
    <x v="0"/>
    <x v="0"/>
    <x v="0"/>
    <s v="Cybertrucklaunch"/>
    <n v="8.4203612479474554E-2"/>
  </r>
  <r>
    <s v="P268"/>
    <x v="0"/>
    <s v="13-04-2025"/>
    <x v="1"/>
    <x v="1"/>
    <n v="4579"/>
    <n v="125"/>
    <n v="300"/>
    <n v="59527"/>
    <n v="59400"/>
    <n v="269"/>
    <x v="0"/>
    <x v="0"/>
    <x v="0"/>
    <s v="Cybertrucklaunch"/>
    <n v="8.4062694239588759E-2"/>
  </r>
  <r>
    <s v="P290"/>
    <x v="0"/>
    <s v="20-12-2024"/>
    <x v="3"/>
    <x v="12"/>
    <n v="2107"/>
    <n v="550"/>
    <n v="349"/>
    <n v="35819"/>
    <n v="35340"/>
    <n v="191"/>
    <x v="0"/>
    <x v="0"/>
    <x v="0"/>
    <s v="Sustainabilitydrive"/>
    <n v="8.3921940869371006E-2"/>
  </r>
  <r>
    <s v="P187"/>
    <x v="1"/>
    <s v="22-12-2024"/>
    <x v="1"/>
    <x v="10"/>
    <n v="1644"/>
    <n v="546"/>
    <n v="150"/>
    <n v="27948"/>
    <n v="27184"/>
    <n v="300"/>
    <x v="0"/>
    <x v="0"/>
    <x v="0"/>
    <s v="Fsdupdate"/>
    <n v="8.3726921425504502E-2"/>
  </r>
  <r>
    <s v="P300"/>
    <x v="1"/>
    <s v="31-08-2024"/>
    <x v="3"/>
    <x v="4"/>
    <n v="4494"/>
    <n v="717"/>
    <n v="45"/>
    <n v="62916"/>
    <n v="62688"/>
    <n v="191"/>
    <x v="1"/>
    <x v="5"/>
    <x v="3"/>
    <s v="Cybertrucklaunch"/>
    <n v="8.3539958039290485E-2"/>
  </r>
  <r>
    <s v="P280"/>
    <x v="2"/>
    <s v="21-10-2024"/>
    <x v="2"/>
    <x v="15"/>
    <n v="4275"/>
    <n v="680"/>
    <n v="385"/>
    <n v="64125"/>
    <n v="63650"/>
    <n v="104"/>
    <x v="0"/>
    <x v="3"/>
    <x v="1"/>
    <s v="Sustainabilitydrive"/>
    <n v="8.3274853801169585E-2"/>
  </r>
  <r>
    <s v="P261"/>
    <x v="0"/>
    <s v="27-10-2024"/>
    <x v="4"/>
    <x v="9"/>
    <n v="4853"/>
    <n v="837"/>
    <n v="340"/>
    <n v="72795"/>
    <n v="72237"/>
    <n v="170"/>
    <x v="0"/>
    <x v="0"/>
    <x v="0"/>
    <s v="Cybertrucklaunch"/>
    <n v="8.2835359571399134E-2"/>
  </r>
  <r>
    <s v="P209"/>
    <x v="1"/>
    <s v="19-03-2025"/>
    <x v="2"/>
    <x v="20"/>
    <n v="3160"/>
    <n v="204"/>
    <n v="297"/>
    <n v="44240"/>
    <n v="43666"/>
    <n v="49"/>
    <x v="2"/>
    <x v="2"/>
    <x v="0"/>
    <s v="Sustainabilitydrive"/>
    <n v="8.2753164556962022E-2"/>
  </r>
  <r>
    <s v="P213"/>
    <x v="3"/>
    <s v="01-05-2025"/>
    <x v="3"/>
    <x v="21"/>
    <n v="2696"/>
    <n v="628"/>
    <n v="443"/>
    <n v="45832"/>
    <n v="45632"/>
    <n v="248"/>
    <x v="0"/>
    <x v="0"/>
    <x v="0"/>
    <s v="Sustainabilitydrive"/>
    <n v="8.21914819340199E-2"/>
  </r>
  <r>
    <s v="P202"/>
    <x v="3"/>
    <s v="02-06-2024"/>
    <x v="4"/>
    <x v="11"/>
    <n v="1871"/>
    <n v="252"/>
    <n v="335"/>
    <n v="29936"/>
    <n v="29576"/>
    <n v="288"/>
    <x v="0"/>
    <x v="0"/>
    <x v="0"/>
    <s v="Fsdupdate"/>
    <n v="8.2108498129342594E-2"/>
  </r>
  <r>
    <s v="P078"/>
    <x v="1"/>
    <s v="17-06-2024"/>
    <x v="4"/>
    <x v="5"/>
    <n v="954"/>
    <n v="324"/>
    <n v="288"/>
    <n v="19080"/>
    <n v="18859"/>
    <n v="21"/>
    <x v="2"/>
    <x v="0"/>
    <x v="0"/>
    <s v="Sustainabilitydrive"/>
    <n v="8.2075471698113203E-2"/>
  </r>
  <r>
    <s v="P064"/>
    <x v="3"/>
    <s v="17-08-2024"/>
    <x v="4"/>
    <x v="11"/>
    <n v="2878"/>
    <n v="248"/>
    <n v="416"/>
    <n v="43170"/>
    <n v="42667"/>
    <n v="75"/>
    <x v="2"/>
    <x v="0"/>
    <x v="0"/>
    <s v="Fsdupdate"/>
    <n v="8.2047718322909427E-2"/>
  </r>
  <r>
    <s v="P228"/>
    <x v="0"/>
    <s v="01-07-2024"/>
    <x v="0"/>
    <x v="0"/>
    <n v="4808"/>
    <n v="772"/>
    <n v="320"/>
    <n v="72120"/>
    <n v="71696"/>
    <n v="195"/>
    <x v="0"/>
    <x v="0"/>
    <x v="0"/>
    <s v="Cybertrucklaunch"/>
    <n v="8.1808097615085965E-2"/>
  </r>
  <r>
    <s v="P076"/>
    <x v="1"/>
    <s v="07-11-2024"/>
    <x v="0"/>
    <x v="2"/>
    <n v="1121"/>
    <n v="135"/>
    <n v="18"/>
    <n v="15694"/>
    <n v="14957"/>
    <n v="99"/>
    <x v="1"/>
    <x v="0"/>
    <x v="0"/>
    <s v="Sustainabilitydrive"/>
    <n v="8.1177520071364848E-2"/>
  </r>
  <r>
    <s v="P057"/>
    <x v="1"/>
    <s v="21-10-2024"/>
    <x v="2"/>
    <x v="20"/>
    <n v="2825"/>
    <n v="535"/>
    <n v="295"/>
    <n v="45200"/>
    <n v="44739"/>
    <n v="169"/>
    <x v="1"/>
    <x v="0"/>
    <x v="0"/>
    <s v="Cybertrucklaunch"/>
    <n v="8.0862831858407078E-2"/>
  </r>
  <r>
    <s v="P122"/>
    <x v="0"/>
    <s v="02-10-2024"/>
    <x v="5"/>
    <x v="13"/>
    <n v="3432"/>
    <n v="869"/>
    <n v="123"/>
    <n v="54912"/>
    <n v="53916"/>
    <n v="264"/>
    <x v="0"/>
    <x v="0"/>
    <x v="0"/>
    <s v="Modelycampaign"/>
    <n v="8.0565268065268064E-2"/>
  </r>
  <r>
    <s v="P022"/>
    <x v="3"/>
    <s v="27-02-2025"/>
    <x v="5"/>
    <x v="16"/>
    <n v="1570"/>
    <n v="187"/>
    <n v="260"/>
    <n v="25120"/>
    <n v="24613"/>
    <n v="133"/>
    <x v="1"/>
    <x v="0"/>
    <x v="0"/>
    <s v="Sustainabilitydrive"/>
    <n v="8.0294585987261149E-2"/>
  </r>
  <r>
    <s v="P118"/>
    <x v="3"/>
    <s v="04-11-2024"/>
    <x v="4"/>
    <x v="11"/>
    <n v="4551"/>
    <n v="714"/>
    <n v="207"/>
    <n v="68265"/>
    <n v="67754"/>
    <n v="57"/>
    <x v="2"/>
    <x v="0"/>
    <x v="0"/>
    <s v="Fsdupdate"/>
    <n v="8.0158206987475278E-2"/>
  </r>
  <r>
    <s v="P257"/>
    <x v="3"/>
    <s v="06-04-2025"/>
    <x v="4"/>
    <x v="11"/>
    <n v="3090"/>
    <n v="697"/>
    <n v="164"/>
    <n v="49440"/>
    <n v="48524"/>
    <n v="25"/>
    <x v="0"/>
    <x v="5"/>
    <x v="3"/>
    <s v="Modelycampaign"/>
    <n v="7.9915048543689318E-2"/>
  </r>
  <r>
    <s v="P091"/>
    <x v="3"/>
    <s v="24-03-2025"/>
    <x v="4"/>
    <x v="11"/>
    <n v="1263"/>
    <n v="397"/>
    <n v="357"/>
    <n v="25260"/>
    <n v="24615"/>
    <n v="137"/>
    <x v="0"/>
    <x v="0"/>
    <x v="0"/>
    <s v="Sustainabilitydrive"/>
    <n v="7.984956452889945E-2"/>
  </r>
  <r>
    <s v="P274"/>
    <x v="1"/>
    <s v="01-01-2025"/>
    <x v="3"/>
    <x v="4"/>
    <n v="3535"/>
    <n v="494"/>
    <n v="152"/>
    <n v="53025"/>
    <n v="52791"/>
    <n v="44"/>
    <x v="1"/>
    <x v="0"/>
    <x v="0"/>
    <s v="Sustainabilitydrive"/>
    <n v="7.8849599245638849E-2"/>
  </r>
  <r>
    <s v="P051"/>
    <x v="3"/>
    <s v="13-06-2024"/>
    <x v="3"/>
    <x v="21"/>
    <n v="2200"/>
    <n v="504"/>
    <n v="239"/>
    <n v="37400"/>
    <n v="36938"/>
    <n v="225"/>
    <x v="2"/>
    <x v="0"/>
    <x v="0"/>
    <s v="Modelycampaign"/>
    <n v="7.8689839572192513E-2"/>
  </r>
  <r>
    <s v="P080"/>
    <x v="0"/>
    <s v="13-06-2024"/>
    <x v="0"/>
    <x v="0"/>
    <n v="2103"/>
    <n v="892"/>
    <n v="103"/>
    <n v="39957"/>
    <n v="39466"/>
    <n v="28"/>
    <x v="2"/>
    <x v="0"/>
    <x v="0"/>
    <m/>
    <n v="7.7533348349475686E-2"/>
  </r>
  <r>
    <s v="P230"/>
    <x v="3"/>
    <s v="15-07-2024"/>
    <x v="1"/>
    <x v="22"/>
    <n v="3663"/>
    <n v="17"/>
    <n v="295"/>
    <n v="51282"/>
    <n v="50567"/>
    <n v="84"/>
    <x v="0"/>
    <x v="0"/>
    <x v="0"/>
    <s v="Fsdupdate"/>
    <n v="7.7512577512577507E-2"/>
  </r>
  <r>
    <s v="P149"/>
    <x v="1"/>
    <s v="16-06-2024"/>
    <x v="2"/>
    <x v="20"/>
    <n v="1702"/>
    <n v="750"/>
    <n v="179"/>
    <n v="34040"/>
    <n v="33174"/>
    <n v="76"/>
    <x v="0"/>
    <x v="0"/>
    <x v="0"/>
    <s v="Cybertrucklaunch"/>
    <n v="7.7291421856639245E-2"/>
  </r>
  <r>
    <s v="P021"/>
    <x v="0"/>
    <s v="04-01-2025"/>
    <x v="1"/>
    <x v="1"/>
    <n v="4838"/>
    <n v="640"/>
    <n v="128"/>
    <n v="72570"/>
    <n v="72396"/>
    <n v="83"/>
    <x v="2"/>
    <x v="0"/>
    <x v="0"/>
    <s v="Sustainabilitydrive"/>
    <n v="7.7249552156538517E-2"/>
  </r>
  <r>
    <s v="P023"/>
    <x v="3"/>
    <s v="06-11-2024"/>
    <x v="2"/>
    <x v="8"/>
    <n v="1606"/>
    <n v="547"/>
    <n v="316"/>
    <n v="32120"/>
    <n v="31736"/>
    <n v="225"/>
    <x v="1"/>
    <x v="2"/>
    <x v="0"/>
    <s v="Modelycampaign"/>
    <n v="7.6867995018679955E-2"/>
  </r>
  <r>
    <s v="P036"/>
    <x v="0"/>
    <s v="19-04-2025"/>
    <x v="0"/>
    <x v="0"/>
    <n v="4518"/>
    <n v="285"/>
    <n v="383"/>
    <n v="67770"/>
    <n v="67621"/>
    <n v="31"/>
    <x v="0"/>
    <x v="0"/>
    <x v="0"/>
    <s v="Modelycampaign"/>
    <n v="7.6523535487678915E-2"/>
  </r>
  <r>
    <s v="P002"/>
    <x v="1"/>
    <s v="03-04-2025"/>
    <x v="5"/>
    <x v="18"/>
    <n v="4054"/>
    <n v="389"/>
    <n v="493"/>
    <n v="64864"/>
    <n v="64383"/>
    <n v="117"/>
    <x v="1"/>
    <x v="1"/>
    <x v="0"/>
    <s v="Modelycampaign"/>
    <n v="7.6097681302417369E-2"/>
  </r>
  <r>
    <s v="P234"/>
    <x v="3"/>
    <s v="01-06-2024"/>
    <x v="5"/>
    <x v="16"/>
    <n v="1272"/>
    <n v="465"/>
    <n v="99"/>
    <n v="24168"/>
    <n v="23719"/>
    <n v="42"/>
    <x v="1"/>
    <x v="0"/>
    <x v="0"/>
    <m/>
    <n v="7.5968222442899705E-2"/>
  </r>
  <r>
    <s v="P013"/>
    <x v="2"/>
    <s v="18-11-2024"/>
    <x v="3"/>
    <x v="6"/>
    <n v="1171"/>
    <n v="286"/>
    <n v="231"/>
    <n v="22249"/>
    <n v="21282"/>
    <n v="114"/>
    <x v="0"/>
    <x v="0"/>
    <x v="0"/>
    <s v="Cybertrucklaunch"/>
    <n v="7.5868578363072495E-2"/>
  </r>
  <r>
    <s v="P016"/>
    <x v="3"/>
    <s v="26-08-2024"/>
    <x v="5"/>
    <x v="16"/>
    <n v="3452"/>
    <n v="377"/>
    <n v="360"/>
    <n v="55232"/>
    <n v="55075"/>
    <n v="87"/>
    <x v="2"/>
    <x v="0"/>
    <x v="0"/>
    <s v="Fsdupdate"/>
    <n v="7.5843713789107758E-2"/>
  </r>
  <r>
    <s v="P179"/>
    <x v="3"/>
    <s v="15-07-2024"/>
    <x v="3"/>
    <x v="21"/>
    <n v="3796"/>
    <n v="667"/>
    <n v="395"/>
    <n v="64532"/>
    <n v="63550"/>
    <n v="292"/>
    <x v="1"/>
    <x v="0"/>
    <x v="0"/>
    <m/>
    <n v="7.5280481001673588E-2"/>
  </r>
  <r>
    <s v="P045"/>
    <x v="3"/>
    <s v="01-11-2024"/>
    <x v="2"/>
    <x v="8"/>
    <n v="3371"/>
    <n v="106"/>
    <n v="327"/>
    <n v="50565"/>
    <n v="49816"/>
    <n v="176"/>
    <x v="2"/>
    <x v="0"/>
    <x v="0"/>
    <s v="Cybertrucklaunch"/>
    <n v="7.5229902106199939E-2"/>
  </r>
  <r>
    <s v="P168"/>
    <x v="3"/>
    <s v="12-11-2024"/>
    <x v="5"/>
    <x v="16"/>
    <n v="2418"/>
    <n v="754"/>
    <n v="54"/>
    <n v="43524"/>
    <n v="42743"/>
    <n v="182"/>
    <x v="0"/>
    <x v="0"/>
    <x v="0"/>
    <s v="Cybertrucklaunch"/>
    <n v="7.412002573292896E-2"/>
  </r>
  <r>
    <s v="P111"/>
    <x v="2"/>
    <s v="23-11-2024"/>
    <x v="4"/>
    <x v="7"/>
    <n v="2719"/>
    <n v="17"/>
    <n v="285"/>
    <n v="40785"/>
    <n v="40281"/>
    <n v="40"/>
    <x v="1"/>
    <x v="0"/>
    <x v="0"/>
    <s v="Modelycampaign"/>
    <n v="7.4071349760941527E-2"/>
  </r>
  <r>
    <s v="P101"/>
    <x v="2"/>
    <s v="18-10-2024"/>
    <x v="2"/>
    <x v="15"/>
    <n v="4450"/>
    <n v="983"/>
    <n v="143"/>
    <n v="75650"/>
    <n v="75008"/>
    <n v="12"/>
    <x v="2"/>
    <x v="0"/>
    <x v="0"/>
    <s v="Fsdupdate"/>
    <n v="7.3707865168539333E-2"/>
  </r>
  <r>
    <s v="P048"/>
    <x v="1"/>
    <s v="11-03-2025"/>
    <x v="0"/>
    <x v="2"/>
    <n v="1950"/>
    <n v="295"/>
    <n v="478"/>
    <n v="37050"/>
    <n v="36272"/>
    <n v="119"/>
    <x v="1"/>
    <x v="0"/>
    <x v="0"/>
    <m/>
    <n v="7.349527665317139E-2"/>
  </r>
  <r>
    <s v="P250"/>
    <x v="3"/>
    <s v="22-06-2024"/>
    <x v="1"/>
    <x v="22"/>
    <n v="3813"/>
    <n v="935"/>
    <n v="274"/>
    <n v="68634"/>
    <n v="68488"/>
    <n v="251"/>
    <x v="2"/>
    <x v="0"/>
    <x v="0"/>
    <m/>
    <n v="7.3170731707317069E-2"/>
  </r>
  <r>
    <s v="P289"/>
    <x v="3"/>
    <s v="28-11-2024"/>
    <x v="3"/>
    <x v="21"/>
    <n v="2751"/>
    <n v="33"/>
    <n v="430"/>
    <n v="44016"/>
    <n v="43415"/>
    <n v="129"/>
    <x v="2"/>
    <x v="0"/>
    <x v="0"/>
    <m/>
    <n v="7.3018902217375503E-2"/>
  </r>
  <r>
    <s v="P233"/>
    <x v="3"/>
    <s v="08-03-2025"/>
    <x v="4"/>
    <x v="11"/>
    <n v="2382"/>
    <n v="265"/>
    <n v="134"/>
    <n v="38112"/>
    <n v="37437"/>
    <n v="249"/>
    <x v="2"/>
    <x v="0"/>
    <x v="0"/>
    <s v="Sustainabilitydrive"/>
    <n v="7.2969143576826198E-2"/>
  </r>
  <r>
    <s v="P172"/>
    <x v="3"/>
    <s v="14-08-2024"/>
    <x v="3"/>
    <x v="21"/>
    <n v="3073"/>
    <n v="553"/>
    <n v="174"/>
    <n v="52241"/>
    <n v="51605"/>
    <n v="246"/>
    <x v="0"/>
    <x v="0"/>
    <x v="0"/>
    <s v="Fsdupdate"/>
    <n v="7.2739802071170159E-2"/>
  </r>
  <r>
    <s v="P238"/>
    <x v="1"/>
    <s v="16-07-2024"/>
    <x v="5"/>
    <x v="18"/>
    <n v="4725"/>
    <n v="400"/>
    <n v="362"/>
    <n v="75600"/>
    <n v="74927"/>
    <n v="43"/>
    <x v="2"/>
    <x v="0"/>
    <x v="0"/>
    <s v="Sustainabilitydrive"/>
    <n v="7.2579365079365077E-2"/>
  </r>
  <r>
    <s v="P189"/>
    <x v="3"/>
    <s v="24-03-2025"/>
    <x v="1"/>
    <x v="22"/>
    <n v="3360"/>
    <n v="525"/>
    <n v="500"/>
    <n v="60480"/>
    <n v="59610"/>
    <n v="192"/>
    <x v="1"/>
    <x v="0"/>
    <x v="0"/>
    <s v="Cybertrucklaunch"/>
    <n v="7.2503306878306875E-2"/>
  </r>
  <r>
    <s v="P039"/>
    <x v="3"/>
    <s v="25-11-2024"/>
    <x v="4"/>
    <x v="11"/>
    <n v="3564"/>
    <n v="629"/>
    <n v="177"/>
    <n v="60588"/>
    <n v="59627"/>
    <n v="92"/>
    <x v="1"/>
    <x v="0"/>
    <x v="0"/>
    <m/>
    <n v="7.2126493695121141E-2"/>
  </r>
  <r>
    <s v="P215"/>
    <x v="3"/>
    <s v="06-05-2025"/>
    <x v="4"/>
    <x v="11"/>
    <n v="4872"/>
    <n v="925"/>
    <n v="176"/>
    <n v="82824"/>
    <n v="82543"/>
    <n v="89"/>
    <x v="0"/>
    <x v="0"/>
    <x v="0"/>
    <s v="Modelycampaign"/>
    <n v="7.2116777745580993E-2"/>
  </r>
  <r>
    <s v="P024"/>
    <x v="3"/>
    <s v="23-01-2025"/>
    <x v="2"/>
    <x v="8"/>
    <n v="3961"/>
    <n v="761"/>
    <n v="131"/>
    <n v="67337"/>
    <n v="66615"/>
    <n v="161"/>
    <x v="2"/>
    <x v="0"/>
    <x v="0"/>
    <s v="Fsdupdate"/>
    <n v="7.2070332803659209E-2"/>
  </r>
  <r>
    <s v="P099"/>
    <x v="2"/>
    <s v="02-07-2024"/>
    <x v="3"/>
    <x v="6"/>
    <n v="4171"/>
    <n v="548"/>
    <n v="86"/>
    <n v="66736"/>
    <n v="66634"/>
    <n v="173"/>
    <x v="2"/>
    <x v="0"/>
    <x v="0"/>
    <s v="Fsdupdate"/>
    <n v="7.2000119875329657E-2"/>
  </r>
  <r>
    <s v="P010"/>
    <x v="3"/>
    <s v="11-03-2025"/>
    <x v="4"/>
    <x v="11"/>
    <n v="4241"/>
    <n v="902"/>
    <n v="47"/>
    <n v="72097"/>
    <n v="71598"/>
    <n v="167"/>
    <x v="1"/>
    <x v="0"/>
    <x v="0"/>
    <s v="Modelycampaign"/>
    <n v="7.198635172059864E-2"/>
  </r>
  <r>
    <s v="P291"/>
    <x v="3"/>
    <s v="06-11-2024"/>
    <x v="2"/>
    <x v="8"/>
    <n v="4663"/>
    <n v="145"/>
    <n v="225"/>
    <n v="69945"/>
    <n v="69596"/>
    <n v="35"/>
    <x v="0"/>
    <x v="0"/>
    <x v="0"/>
    <s v="Sustainabilitydrive"/>
    <n v="7.1956537279290869E-2"/>
  </r>
  <r>
    <s v="P133"/>
    <x v="3"/>
    <s v="06-02-2025"/>
    <x v="4"/>
    <x v="11"/>
    <n v="2072"/>
    <n v="532"/>
    <n v="71"/>
    <n v="37296"/>
    <n v="36467"/>
    <n v="25"/>
    <x v="1"/>
    <x v="0"/>
    <x v="0"/>
    <s v="Sustainabilitydrive"/>
    <n v="7.172350922350923E-2"/>
  </r>
  <r>
    <s v="P027"/>
    <x v="2"/>
    <s v="17-09-2024"/>
    <x v="5"/>
    <x v="17"/>
    <n v="2076"/>
    <n v="195"/>
    <n v="104"/>
    <n v="33216"/>
    <n v="32244"/>
    <n v="51"/>
    <x v="2"/>
    <x v="0"/>
    <x v="0"/>
    <s v="Sustainabilitydrive"/>
    <n v="7.1501685934489398E-2"/>
  </r>
  <r>
    <s v="P134"/>
    <x v="1"/>
    <s v="24-04-2025"/>
    <x v="1"/>
    <x v="10"/>
    <n v="3731"/>
    <n v="115"/>
    <n v="135"/>
    <n v="55965"/>
    <n v="55436"/>
    <n v="103"/>
    <x v="1"/>
    <x v="0"/>
    <x v="0"/>
    <s v="Cybertrucklaunch"/>
    <n v="7.1133744304476013E-2"/>
  </r>
  <r>
    <s v="P090"/>
    <x v="0"/>
    <s v="03-06-2024"/>
    <x v="4"/>
    <x v="9"/>
    <n v="3861"/>
    <n v="960"/>
    <n v="101"/>
    <n v="69498"/>
    <n v="68817"/>
    <n v="297"/>
    <x v="1"/>
    <x v="0"/>
    <x v="0"/>
    <s v="Sustainabilitydrive"/>
    <n v="7.0822181933293038E-2"/>
  </r>
  <r>
    <s v="P034"/>
    <x v="3"/>
    <s v="26-03-2025"/>
    <x v="5"/>
    <x v="16"/>
    <n v="1652"/>
    <n v="89"/>
    <n v="357"/>
    <n v="29736"/>
    <n v="28771"/>
    <n v="215"/>
    <x v="1"/>
    <x v="0"/>
    <x v="0"/>
    <s v="Fsdupdate"/>
    <n v="7.055421038471886E-2"/>
  </r>
  <r>
    <s v="P007"/>
    <x v="1"/>
    <s v="24-06-2024"/>
    <x v="3"/>
    <x v="4"/>
    <n v="3860"/>
    <n v="201"/>
    <n v="279"/>
    <n v="61760"/>
    <n v="61660"/>
    <n v="235"/>
    <x v="1"/>
    <x v="0"/>
    <x v="0"/>
    <s v="Modelycampaign"/>
    <n v="7.0272020725388601E-2"/>
  </r>
  <r>
    <s v="P142"/>
    <x v="2"/>
    <s v="25-03-2025"/>
    <x v="0"/>
    <x v="23"/>
    <n v="2070"/>
    <n v="275"/>
    <n v="386"/>
    <n v="39330"/>
    <n v="38627"/>
    <n v="114"/>
    <x v="2"/>
    <x v="0"/>
    <x v="0"/>
    <s v="Sustainabilitydrive"/>
    <n v="6.9438087973557078E-2"/>
  </r>
  <r>
    <s v="P127"/>
    <x v="3"/>
    <s v="27-01-2025"/>
    <x v="1"/>
    <x v="22"/>
    <n v="3452"/>
    <n v="652"/>
    <n v="442"/>
    <n v="65588"/>
    <n v="65049"/>
    <n v="158"/>
    <x v="2"/>
    <x v="0"/>
    <x v="0"/>
    <s v="Fsdupdate"/>
    <n v="6.9311459413307311E-2"/>
  </r>
  <r>
    <s v="P170"/>
    <x v="1"/>
    <s v="28-04-2025"/>
    <x v="5"/>
    <x v="18"/>
    <n v="3577"/>
    <n v="596"/>
    <n v="493"/>
    <n v="67963"/>
    <n v="67839"/>
    <n v="53"/>
    <x v="1"/>
    <x v="0"/>
    <x v="0"/>
    <s v="Fsdupdate"/>
    <n v="6.8655003457763777E-2"/>
  </r>
  <r>
    <s v="P095"/>
    <x v="0"/>
    <s v="08-11-2024"/>
    <x v="5"/>
    <x v="13"/>
    <n v="3182"/>
    <n v="559"/>
    <n v="160"/>
    <n v="57276"/>
    <n v="56890"/>
    <n v="163"/>
    <x v="2"/>
    <x v="0"/>
    <x v="0"/>
    <s v="Sustainabilitydrive"/>
    <n v="6.8108806480899509E-2"/>
  </r>
  <r>
    <s v="P288"/>
    <x v="2"/>
    <s v="17-04-2025"/>
    <x v="3"/>
    <x v="6"/>
    <n v="4780"/>
    <n v="691"/>
    <n v="380"/>
    <n v="86040"/>
    <n v="85743"/>
    <n v="262"/>
    <x v="2"/>
    <x v="0"/>
    <x v="0"/>
    <s v="Fsdupdate"/>
    <n v="6.800325430032543E-2"/>
  </r>
  <r>
    <s v="P237"/>
    <x v="0"/>
    <s v="22-10-2024"/>
    <x v="0"/>
    <x v="0"/>
    <n v="3770"/>
    <n v="917"/>
    <n v="129"/>
    <n v="71630"/>
    <n v="71322"/>
    <n v="76"/>
    <x v="2"/>
    <x v="0"/>
    <x v="0"/>
    <s v="Cybertrucklaunch"/>
    <n v="6.7234398994834563E-2"/>
  </r>
  <r>
    <s v="P270"/>
    <x v="2"/>
    <s v="15-01-2025"/>
    <x v="1"/>
    <x v="19"/>
    <n v="3774"/>
    <n v="239"/>
    <n v="39"/>
    <n v="60384"/>
    <n v="59490"/>
    <n v="241"/>
    <x v="1"/>
    <x v="0"/>
    <x v="0"/>
    <s v="Fsdupdate"/>
    <n v="6.7103868574456813E-2"/>
  </r>
  <r>
    <s v="P005"/>
    <x v="2"/>
    <s v="26-06-2024"/>
    <x v="1"/>
    <x v="19"/>
    <n v="3557"/>
    <n v="687"/>
    <n v="424"/>
    <n v="71140"/>
    <n v="70701"/>
    <n v="224"/>
    <x v="0"/>
    <x v="3"/>
    <x v="0"/>
    <s v="Cybertrucklaunch"/>
    <n v="6.5617093055946027E-2"/>
  </r>
  <r>
    <s v="P086"/>
    <x v="2"/>
    <s v="27-01-2025"/>
    <x v="5"/>
    <x v="17"/>
    <n v="3428"/>
    <n v="305"/>
    <n v="85"/>
    <n v="58276"/>
    <n v="58052"/>
    <n v="242"/>
    <x v="0"/>
    <x v="1"/>
    <x v="0"/>
    <s v="Sustainabilitydrive"/>
    <n v="6.5515821264328367E-2"/>
  </r>
  <r>
    <s v="P144"/>
    <x v="2"/>
    <s v="28-10-2024"/>
    <x v="0"/>
    <x v="23"/>
    <n v="4929"/>
    <n v="749"/>
    <n v="452"/>
    <n v="93651"/>
    <n v="92810"/>
    <n v="66"/>
    <x v="0"/>
    <x v="0"/>
    <x v="0"/>
    <s v="Sustainabilitydrive"/>
    <n v="6.5455787978772245E-2"/>
  </r>
  <r>
    <s v="P197"/>
    <x v="1"/>
    <s v="22-10-2024"/>
    <x v="1"/>
    <x v="10"/>
    <n v="4782"/>
    <n v="721"/>
    <n v="82"/>
    <n v="86076"/>
    <n v="85339"/>
    <n v="19"/>
    <x v="0"/>
    <x v="0"/>
    <x v="0"/>
    <s v="Cybertrucklaunch"/>
    <n v="6.4884520656164318E-2"/>
  </r>
  <r>
    <s v="P135"/>
    <x v="3"/>
    <s v="28-11-2024"/>
    <x v="5"/>
    <x v="16"/>
    <n v="4213"/>
    <n v="253"/>
    <n v="434"/>
    <n v="75834"/>
    <n v="75437"/>
    <n v="272"/>
    <x v="2"/>
    <x v="0"/>
    <x v="0"/>
    <s v="Sustainabilitydrive"/>
    <n v="6.461481657304112E-2"/>
  </r>
  <r>
    <s v="P073"/>
    <x v="3"/>
    <s v="18-10-2024"/>
    <x v="0"/>
    <x v="14"/>
    <n v="4126"/>
    <n v="426"/>
    <n v="486"/>
    <n v="78394"/>
    <n v="77798"/>
    <n v="88"/>
    <x v="2"/>
    <x v="0"/>
    <x v="0"/>
    <s v="Sustainabilitydrive"/>
    <n v="6.4265122330790625E-2"/>
  </r>
  <r>
    <s v="P267"/>
    <x v="1"/>
    <s v="04-10-2024"/>
    <x v="1"/>
    <x v="10"/>
    <n v="4187"/>
    <n v="66"/>
    <n v="31"/>
    <n v="66992"/>
    <n v="66614"/>
    <n v="62"/>
    <x v="2"/>
    <x v="0"/>
    <x v="0"/>
    <m/>
    <n v="6.3947934081681396E-2"/>
  </r>
  <r>
    <s v="P020"/>
    <x v="0"/>
    <s v="09-09-2024"/>
    <x v="3"/>
    <x v="12"/>
    <n v="4054"/>
    <n v="488"/>
    <n v="373"/>
    <n v="77026"/>
    <n v="76881"/>
    <n v="25"/>
    <x v="1"/>
    <x v="0"/>
    <x v="0"/>
    <s v="Cybertrucklaunch"/>
    <n v="6.3809622724794221E-2"/>
  </r>
  <r>
    <s v="P067"/>
    <x v="3"/>
    <s v="29-03-2025"/>
    <x v="3"/>
    <x v="21"/>
    <n v="4712"/>
    <n v="568"/>
    <n v="127"/>
    <n v="84816"/>
    <n v="84691"/>
    <n v="100"/>
    <x v="0"/>
    <x v="0"/>
    <x v="0"/>
    <s v="Fsdupdate"/>
    <n v="6.3749764195434822E-2"/>
  </r>
  <r>
    <s v="P150"/>
    <x v="2"/>
    <s v="22-08-2024"/>
    <x v="3"/>
    <x v="6"/>
    <n v="4295"/>
    <n v="853"/>
    <n v="325"/>
    <n v="85900"/>
    <n v="85788"/>
    <n v="290"/>
    <x v="1"/>
    <x v="0"/>
    <x v="0"/>
    <s v="Sustainabilitydrive"/>
    <n v="6.3713620488940623E-2"/>
  </r>
  <r>
    <s v="P281"/>
    <x v="2"/>
    <s v="22-03-2025"/>
    <x v="4"/>
    <x v="7"/>
    <n v="3166"/>
    <n v="90"/>
    <n v="341"/>
    <n v="56988"/>
    <n v="56125"/>
    <n v="135"/>
    <x v="0"/>
    <x v="0"/>
    <x v="0"/>
    <s v="Modelycampaign"/>
    <n v="6.3118551273952411E-2"/>
  </r>
  <r>
    <s v="P217"/>
    <x v="3"/>
    <s v="03-12-2024"/>
    <x v="4"/>
    <x v="11"/>
    <n v="4606"/>
    <n v="931"/>
    <n v="230"/>
    <n v="92120"/>
    <n v="91440"/>
    <n v="56"/>
    <x v="1"/>
    <x v="0"/>
    <x v="0"/>
    <m/>
    <n v="6.2603126356925748E-2"/>
  </r>
  <r>
    <s v="P200"/>
    <x v="3"/>
    <s v="07-04-2025"/>
    <x v="1"/>
    <x v="22"/>
    <n v="3718"/>
    <n v="385"/>
    <n v="310"/>
    <n v="70642"/>
    <n v="69749"/>
    <n v="233"/>
    <x v="1"/>
    <x v="0"/>
    <x v="0"/>
    <s v="Modelycampaign"/>
    <n v="6.246991874522239E-2"/>
  </r>
  <r>
    <s v="P107"/>
    <x v="2"/>
    <s v="21-06-2024"/>
    <x v="4"/>
    <x v="7"/>
    <n v="4832"/>
    <n v="893"/>
    <n v="10"/>
    <n v="91808"/>
    <n v="91296"/>
    <n v="182"/>
    <x v="1"/>
    <x v="0"/>
    <x v="0"/>
    <m/>
    <n v="6.2467323109097243E-2"/>
  </r>
  <r>
    <s v="P115"/>
    <x v="1"/>
    <s v="11-05-2025"/>
    <x v="4"/>
    <x v="5"/>
    <n v="2493"/>
    <n v="97"/>
    <n v="44"/>
    <n v="42381"/>
    <n v="41991"/>
    <n v="242"/>
    <x v="1"/>
    <x v="2"/>
    <x v="0"/>
    <s v="Sustainabilitydrive"/>
    <n v="6.2150491965739366E-2"/>
  </r>
  <r>
    <s v="P223"/>
    <x v="1"/>
    <s v="12-11-2024"/>
    <x v="4"/>
    <x v="5"/>
    <n v="3338"/>
    <n v="277"/>
    <n v="118"/>
    <n v="60084"/>
    <n v="59842"/>
    <n v="252"/>
    <x v="1"/>
    <x v="0"/>
    <x v="0"/>
    <m/>
    <n v="6.2129685107516146E-2"/>
  </r>
  <r>
    <s v="P279"/>
    <x v="2"/>
    <s v="02-09-2024"/>
    <x v="4"/>
    <x v="7"/>
    <n v="4905"/>
    <n v="845"/>
    <n v="129"/>
    <n v="98100"/>
    <n v="97772"/>
    <n v="279"/>
    <x v="1"/>
    <x v="0"/>
    <x v="0"/>
    <s v="Modelycampaign"/>
    <n v="5.9928644240570844E-2"/>
  </r>
  <r>
    <s v="P025"/>
    <x v="1"/>
    <s v="10-04-2025"/>
    <x v="3"/>
    <x v="4"/>
    <n v="3128"/>
    <n v="211"/>
    <n v="197"/>
    <n v="59432"/>
    <n v="59182"/>
    <n v="238"/>
    <x v="0"/>
    <x v="0"/>
    <x v="0"/>
    <m/>
    <n v="5.9496567505720827E-2"/>
  </r>
  <r>
    <s v="P015"/>
    <x v="3"/>
    <s v="24-10-2024"/>
    <x v="2"/>
    <x v="8"/>
    <n v="3888"/>
    <n v="604"/>
    <n v="128"/>
    <n v="77760"/>
    <n v="77167"/>
    <n v="20"/>
    <x v="2"/>
    <x v="0"/>
    <x v="0"/>
    <s v="Cybertrucklaunch"/>
    <n v="5.941358024691358E-2"/>
  </r>
  <r>
    <s v="P296"/>
    <x v="1"/>
    <s v="11-02-2025"/>
    <x v="2"/>
    <x v="20"/>
    <n v="3440"/>
    <n v="13"/>
    <n v="20"/>
    <n v="58480"/>
    <n v="58146"/>
    <n v="210"/>
    <x v="1"/>
    <x v="4"/>
    <x v="0"/>
    <s v="Sustainabilitydrive"/>
    <n v="5.9387824897400819E-2"/>
  </r>
  <r>
    <s v="P298"/>
    <x v="3"/>
    <s v="24-10-2024"/>
    <x v="4"/>
    <x v="11"/>
    <n v="4303"/>
    <n v="451"/>
    <n v="286"/>
    <n v="86060"/>
    <n v="85823"/>
    <n v="14"/>
    <x v="1"/>
    <x v="0"/>
    <x v="0"/>
    <s v="Fsdupdate"/>
    <n v="5.8563792702765516E-2"/>
  </r>
  <r>
    <s v="P216"/>
    <x v="2"/>
    <s v="29-07-2024"/>
    <x v="0"/>
    <x v="23"/>
    <n v="1509"/>
    <n v="88"/>
    <n v="163"/>
    <n v="30180"/>
    <n v="29689"/>
    <n v="119"/>
    <x v="0"/>
    <x v="0"/>
    <x v="0"/>
    <s v="Modelycampaign"/>
    <n v="5.8316766070245198E-2"/>
  </r>
  <r>
    <s v="P283"/>
    <x v="1"/>
    <s v="09-05-2025"/>
    <x v="1"/>
    <x v="10"/>
    <n v="3367"/>
    <n v="302"/>
    <n v="57"/>
    <n v="63973"/>
    <n v="63789"/>
    <n v="157"/>
    <x v="2"/>
    <x v="0"/>
    <x v="0"/>
    <s v="Modelycampaign"/>
    <n v="5.8243321401216137E-2"/>
  </r>
  <r>
    <s v="P256"/>
    <x v="2"/>
    <s v="18-09-2024"/>
    <x v="3"/>
    <x v="6"/>
    <n v="2143"/>
    <n v="12"/>
    <n v="204"/>
    <n v="40717"/>
    <n v="40125"/>
    <n v="248"/>
    <x v="0"/>
    <x v="0"/>
    <x v="0"/>
    <s v="Modelycampaign"/>
    <n v="5.7936488444630008E-2"/>
  </r>
  <r>
    <s v="P030"/>
    <x v="0"/>
    <s v="25-02-2025"/>
    <x v="2"/>
    <x v="3"/>
    <n v="3095"/>
    <n v="39"/>
    <n v="78"/>
    <n v="55710"/>
    <n v="54808"/>
    <n v="93"/>
    <x v="0"/>
    <x v="0"/>
    <x v="0"/>
    <m/>
    <n v="5.7655717106444085E-2"/>
  </r>
  <r>
    <s v="P203"/>
    <x v="0"/>
    <s v="21-11-2024"/>
    <x v="3"/>
    <x v="12"/>
    <n v="3773"/>
    <n v="299"/>
    <n v="38"/>
    <n v="71687"/>
    <n v="71447"/>
    <n v="286"/>
    <x v="2"/>
    <x v="0"/>
    <x v="0"/>
    <s v="Cybertrucklaunch"/>
    <n v="5.7332570758993957E-2"/>
  </r>
  <r>
    <s v="P225"/>
    <x v="1"/>
    <s v="20-06-2024"/>
    <x v="3"/>
    <x v="4"/>
    <n v="4672"/>
    <n v="325"/>
    <n v="32"/>
    <n v="88768"/>
    <n v="87833"/>
    <n v="118"/>
    <x v="0"/>
    <x v="0"/>
    <x v="0"/>
    <m/>
    <n v="5.6653298485940883E-2"/>
  </r>
  <r>
    <s v="P145"/>
    <x v="0"/>
    <s v="12-08-2024"/>
    <x v="3"/>
    <x v="12"/>
    <n v="1878"/>
    <n v="62"/>
    <n v="179"/>
    <n v="37560"/>
    <n v="36874"/>
    <n v="142"/>
    <x v="1"/>
    <x v="0"/>
    <x v="0"/>
    <s v="Sustainabilitydrive"/>
    <n v="5.6416400425985093E-2"/>
  </r>
  <r>
    <s v="P190"/>
    <x v="2"/>
    <s v="04-10-2024"/>
    <x v="5"/>
    <x v="17"/>
    <n v="1963"/>
    <n v="213"/>
    <n v="19"/>
    <n v="39260"/>
    <n v="38771"/>
    <n v="145"/>
    <x v="2"/>
    <x v="0"/>
    <x v="0"/>
    <m/>
    <n v="5.5909322465613857E-2"/>
  </r>
  <r>
    <s v="P003"/>
    <x v="2"/>
    <s v="12-05-2025"/>
    <x v="1"/>
    <x v="19"/>
    <n v="2795"/>
    <n v="105"/>
    <n v="49"/>
    <n v="53105"/>
    <n v="52307"/>
    <n v="204"/>
    <x v="1"/>
    <x v="0"/>
    <x v="0"/>
    <s v="Fsdupdate"/>
    <n v="5.5531494209584788E-2"/>
  </r>
  <r>
    <s v="P176"/>
    <x v="3"/>
    <s v="20-06-2024"/>
    <x v="2"/>
    <x v="8"/>
    <n v="3798"/>
    <n v="31"/>
    <n v="279"/>
    <n v="75960"/>
    <n v="75813"/>
    <n v="266"/>
    <x v="1"/>
    <x v="0"/>
    <x v="0"/>
    <s v="Cybertrucklaunch"/>
    <n v="5.4081095313322801E-2"/>
  </r>
  <r>
    <s v="P063"/>
    <x v="1"/>
    <s v="31-07-2024"/>
    <x v="3"/>
    <x v="4"/>
    <n v="4507"/>
    <n v="217"/>
    <n v="13"/>
    <n v="90140"/>
    <n v="89591"/>
    <n v="125"/>
    <x v="2"/>
    <x v="0"/>
    <x v="0"/>
    <s v="Fsdupdate"/>
    <n v="5.2551586421122697E-2"/>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0">
  <r>
    <n v="1018"/>
    <n v="447"/>
    <n v="332"/>
    <n v="18324"/>
    <n v="18164"/>
    <n v="38"/>
    <s v="#Futureofdriving"/>
    <m/>
    <m/>
    <x v="0"/>
  </r>
  <r>
    <n v="2945"/>
    <n v="930"/>
    <n v="355"/>
    <n v="23560"/>
    <n v="23275"/>
    <n v="256"/>
    <s v="#Teslacoinnovation"/>
    <m/>
    <m/>
    <x v="0"/>
  </r>
  <r>
    <n v="3170"/>
    <n v="857"/>
    <n v="379"/>
    <n v="19020"/>
    <n v="18559"/>
    <n v="240"/>
    <s v="#Futureofdriving"/>
    <m/>
    <m/>
    <x v="1"/>
  </r>
  <r>
    <n v="4494"/>
    <n v="717"/>
    <n v="45"/>
    <n v="62916"/>
    <n v="62688"/>
    <n v="191"/>
    <s v="#Teslacoinnovation"/>
    <s v="#Evrevolution"/>
    <s v="#Betterwithtesla"/>
    <x v="2"/>
  </r>
  <r>
    <n v="4507"/>
    <n v="217"/>
    <n v="13"/>
    <n v="90140"/>
    <n v="89591"/>
    <n v="125"/>
    <s v="#Futureofdriving"/>
    <m/>
    <m/>
    <x v="3"/>
  </r>
  <r>
    <n v="2278"/>
    <n v="10"/>
    <n v="321"/>
    <n v="13668"/>
    <n v="12676"/>
    <n v="275"/>
    <s v="#Evrevolution"/>
    <m/>
    <m/>
    <x v="2"/>
  </r>
  <r>
    <n v="4689"/>
    <n v="134"/>
    <n v="403"/>
    <n v="51579"/>
    <n v="50924"/>
    <n v="173"/>
    <s v="#Teslacoinnovation"/>
    <m/>
    <m/>
    <x v="4"/>
  </r>
  <r>
    <n v="3008"/>
    <n v="94"/>
    <n v="37"/>
    <n v="15040"/>
    <n v="14639"/>
    <n v="277"/>
    <s v="#Futureofdriving"/>
    <m/>
    <m/>
    <x v="1"/>
  </r>
  <r>
    <n v="2566"/>
    <n v="118"/>
    <n v="37"/>
    <n v="12830"/>
    <n v="12264"/>
    <n v="221"/>
    <s v="#Futureofdriving"/>
    <m/>
    <m/>
    <x v="3"/>
  </r>
  <r>
    <n v="2509"/>
    <n v="324"/>
    <n v="171"/>
    <n v="35126"/>
    <n v="34685"/>
    <n v="277"/>
    <s v="#Teslacoinnovation"/>
    <m/>
    <m/>
    <x v="0"/>
  </r>
  <r>
    <n v="3775"/>
    <n v="16"/>
    <n v="239"/>
    <n v="33975"/>
    <n v="33310"/>
    <n v="271"/>
    <s v="#Futureofdriving"/>
    <m/>
    <m/>
    <x v="0"/>
  </r>
  <r>
    <n v="3784"/>
    <n v="808"/>
    <n v="404"/>
    <n v="56760"/>
    <n v="56343"/>
    <n v="131"/>
    <s v="#Teslacoinnovation"/>
    <m/>
    <m/>
    <x v="0"/>
  </r>
  <r>
    <n v="59"/>
    <n v="163"/>
    <n v="93"/>
    <n v="590"/>
    <n v="475"/>
    <n v="293"/>
    <s v="#Teslacoinnovation"/>
    <m/>
    <m/>
    <x v="0"/>
  </r>
  <r>
    <n v="4274"/>
    <n v="340"/>
    <n v="281"/>
    <n v="34192"/>
    <n v="33446"/>
    <n v="129"/>
    <s v="#Teslacoinnovation"/>
    <s v="#Smoothlikenitrotesla"/>
    <m/>
    <x v="3"/>
  </r>
  <r>
    <n v="1176"/>
    <n v="464"/>
    <n v="394"/>
    <n v="14112"/>
    <n v="13588"/>
    <n v="272"/>
    <s v="#Evrevolution"/>
    <m/>
    <m/>
    <x v="1"/>
  </r>
  <r>
    <n v="2746"/>
    <n v="156"/>
    <n v="203"/>
    <n v="32952"/>
    <n v="32147"/>
    <n v="147"/>
    <s v="#Evrevolution"/>
    <m/>
    <m/>
    <x v="2"/>
  </r>
  <r>
    <n v="2936"/>
    <n v="439"/>
    <n v="44"/>
    <n v="38168"/>
    <n v="37571"/>
    <n v="22"/>
    <s v="#Evrevolution"/>
    <m/>
    <m/>
    <x v="4"/>
  </r>
  <r>
    <n v="1509"/>
    <n v="88"/>
    <n v="163"/>
    <n v="30180"/>
    <n v="29689"/>
    <n v="119"/>
    <s v="#Evrevolution"/>
    <m/>
    <m/>
    <x v="0"/>
  </r>
  <r>
    <n v="3523"/>
    <n v="753"/>
    <n v="482"/>
    <n v="38753"/>
    <n v="38579"/>
    <n v="270"/>
    <s v="#Evrevolution"/>
    <m/>
    <m/>
    <x v="0"/>
  </r>
  <r>
    <n v="498"/>
    <n v="701"/>
    <n v="412"/>
    <n v="4980"/>
    <n v="4185"/>
    <n v="185"/>
    <s v="#Futureofdriving"/>
    <m/>
    <m/>
    <x v="1"/>
  </r>
  <r>
    <n v="249"/>
    <n v="592"/>
    <n v="230"/>
    <n v="1494"/>
    <n v="1044"/>
    <n v="201"/>
    <s v="#Evrevolution"/>
    <m/>
    <m/>
    <x v="4"/>
  </r>
  <r>
    <n v="4712"/>
    <n v="568"/>
    <n v="127"/>
    <n v="84816"/>
    <n v="84691"/>
    <n v="100"/>
    <s v="#Evrevolution"/>
    <m/>
    <m/>
    <x v="3"/>
  </r>
  <r>
    <n v="305"/>
    <n v="187"/>
    <n v="243"/>
    <n v="4575"/>
    <n v="3704"/>
    <n v="234"/>
    <s v="#Futureofdriving"/>
    <m/>
    <m/>
    <x v="3"/>
  </r>
  <r>
    <n v="4213"/>
    <n v="253"/>
    <n v="434"/>
    <n v="75834"/>
    <n v="75437"/>
    <n v="272"/>
    <s v="#Futureofdriving"/>
    <m/>
    <m/>
    <x v="4"/>
  </r>
  <r>
    <n v="2751"/>
    <n v="33"/>
    <n v="430"/>
    <n v="44016"/>
    <n v="43415"/>
    <n v="129"/>
    <s v="#Futureofdriving"/>
    <m/>
    <m/>
    <x v="1"/>
  </r>
  <r>
    <n v="4771"/>
    <n v="818"/>
    <n v="56"/>
    <n v="57252"/>
    <n v="56378"/>
    <n v="150"/>
    <s v="#Futureofdriving"/>
    <m/>
    <m/>
    <x v="1"/>
  </r>
  <r>
    <n v="1855"/>
    <n v="200"/>
    <n v="174"/>
    <n v="16695"/>
    <n v="16330"/>
    <n v="123"/>
    <s v="#Teslacoinnovation"/>
    <m/>
    <m/>
    <x v="3"/>
  </r>
  <r>
    <n v="4929"/>
    <n v="749"/>
    <n v="452"/>
    <n v="93651"/>
    <n v="92810"/>
    <n v="66"/>
    <s v="#Evrevolution"/>
    <m/>
    <m/>
    <x v="4"/>
  </r>
  <r>
    <n v="3215"/>
    <n v="960"/>
    <n v="202"/>
    <n v="32150"/>
    <n v="31404"/>
    <n v="251"/>
    <s v="#Evrevolution"/>
    <m/>
    <m/>
    <x v="2"/>
  </r>
  <r>
    <n v="2089"/>
    <n v="476"/>
    <n v="69"/>
    <n v="16712"/>
    <n v="16309"/>
    <n v="64"/>
    <s v="#Futureofdriving"/>
    <m/>
    <m/>
    <x v="3"/>
  </r>
  <r>
    <n v="3577"/>
    <n v="596"/>
    <n v="493"/>
    <n v="67963"/>
    <n v="67839"/>
    <n v="53"/>
    <s v="#Teslacoinnovation"/>
    <m/>
    <m/>
    <x v="3"/>
  </r>
  <r>
    <n v="1881"/>
    <n v="501"/>
    <n v="99"/>
    <n v="20691"/>
    <n v="19987"/>
    <n v="289"/>
    <s v="#Evrevolution"/>
    <m/>
    <m/>
    <x v="1"/>
  </r>
  <r>
    <n v="4158"/>
    <n v="167"/>
    <n v="241"/>
    <n v="45738"/>
    <n v="45183"/>
    <n v="142"/>
    <s v="#Futureofdriving"/>
    <m/>
    <m/>
    <x v="1"/>
  </r>
  <r>
    <n v="904"/>
    <n v="973"/>
    <n v="63"/>
    <n v="11752"/>
    <n v="11580"/>
    <n v="84"/>
    <s v="#Evrevolution"/>
    <s v="#Teslacoinnovation"/>
    <s v="#Anytimeisteslatime"/>
    <x v="3"/>
  </r>
  <r>
    <n v="1188"/>
    <n v="470"/>
    <n v="174"/>
    <n v="7128"/>
    <n v="6145"/>
    <n v="270"/>
    <s v="#Teslacoinnovation"/>
    <m/>
    <m/>
    <x v="4"/>
  </r>
  <r>
    <n v="4853"/>
    <n v="837"/>
    <n v="340"/>
    <n v="72795"/>
    <n v="72237"/>
    <n v="170"/>
    <s v="#Evrevolution"/>
    <m/>
    <m/>
    <x v="2"/>
  </r>
  <r>
    <n v="3960"/>
    <n v="266"/>
    <n v="8"/>
    <n v="35640"/>
    <n v="34850"/>
    <n v="208"/>
    <s v="#Futureofdriving"/>
    <s v="#Evrevolution"/>
    <s v="#Betterwithtesla"/>
    <x v="1"/>
  </r>
  <r>
    <n v="4941"/>
    <n v="414"/>
    <n v="266"/>
    <n v="39528"/>
    <n v="39154"/>
    <n v="217"/>
    <s v="#Teslacoinnovation"/>
    <m/>
    <m/>
    <x v="3"/>
  </r>
  <r>
    <n v="1377"/>
    <n v="796"/>
    <n v="387"/>
    <n v="22032"/>
    <n v="21869"/>
    <n v="189"/>
    <s v="#Futureofdriving"/>
    <m/>
    <m/>
    <x v="1"/>
  </r>
  <r>
    <n v="4934"/>
    <n v="971"/>
    <n v="156"/>
    <n v="39472"/>
    <n v="39025"/>
    <n v="169"/>
    <s v="#Teslacoinnovation"/>
    <s v="#Anytimeisteslatime"/>
    <m/>
    <x v="4"/>
  </r>
  <r>
    <n v="1570"/>
    <n v="187"/>
    <n v="260"/>
    <n v="25120"/>
    <n v="24613"/>
    <n v="133"/>
    <s v="#Teslacoinnovation"/>
    <m/>
    <m/>
    <x v="4"/>
  </r>
  <r>
    <n v="3428"/>
    <n v="305"/>
    <n v="85"/>
    <n v="58276"/>
    <n v="58052"/>
    <n v="242"/>
    <s v="#Evrevolution"/>
    <s v="#Betterwithtesla"/>
    <m/>
    <x v="4"/>
  </r>
  <r>
    <n v="3452"/>
    <n v="652"/>
    <n v="442"/>
    <n v="65588"/>
    <n v="65049"/>
    <n v="158"/>
    <s v="#Futureofdriving"/>
    <m/>
    <m/>
    <x v="3"/>
  </r>
  <r>
    <n v="4516"/>
    <n v="836"/>
    <n v="169"/>
    <n v="49676"/>
    <n v="49257"/>
    <n v="282"/>
    <s v="#Evrevolution"/>
    <m/>
    <m/>
    <x v="4"/>
  </r>
  <r>
    <n v="2581"/>
    <n v="517"/>
    <n v="117"/>
    <n v="23229"/>
    <n v="22331"/>
    <n v="70"/>
    <s v="#Futureofdriving"/>
    <m/>
    <m/>
    <x v="3"/>
  </r>
  <r>
    <n v="3452"/>
    <n v="377"/>
    <n v="360"/>
    <n v="55232"/>
    <n v="55075"/>
    <n v="87"/>
    <s v="#Futureofdriving"/>
    <m/>
    <m/>
    <x v="3"/>
  </r>
  <r>
    <n v="929"/>
    <n v="192"/>
    <n v="322"/>
    <n v="16722"/>
    <n v="15996"/>
    <n v="145"/>
    <s v="#Evrevolution"/>
    <s v="#Teslacoinnovation"/>
    <s v="#Anytimeisteslatime"/>
    <x v="3"/>
  </r>
  <r>
    <n v="3559"/>
    <n v="59"/>
    <n v="289"/>
    <n v="35590"/>
    <n v="35105"/>
    <n v="122"/>
    <s v="#Evrevolution"/>
    <m/>
    <m/>
    <x v="2"/>
  </r>
  <r>
    <n v="432"/>
    <n v="171"/>
    <n v="280"/>
    <n v="3024"/>
    <n v="2285"/>
    <n v="184"/>
    <s v="#Evrevolution"/>
    <m/>
    <m/>
    <x v="2"/>
  </r>
  <r>
    <n v="3557"/>
    <n v="687"/>
    <n v="424"/>
    <n v="71140"/>
    <n v="70701"/>
    <n v="224"/>
    <s v="#Evrevolution"/>
    <s v="#Teslacoinnovation"/>
    <m/>
    <x v="2"/>
  </r>
  <r>
    <n v="1652"/>
    <n v="89"/>
    <n v="357"/>
    <n v="29736"/>
    <n v="28771"/>
    <n v="215"/>
    <s v="#Teslacoinnovation"/>
    <m/>
    <m/>
    <x v="3"/>
  </r>
  <r>
    <n v="2120"/>
    <n v="158"/>
    <n v="488"/>
    <n v="12720"/>
    <n v="12085"/>
    <n v="17"/>
    <s v="#Futureofdriving"/>
    <m/>
    <m/>
    <x v="0"/>
  </r>
  <r>
    <n v="3564"/>
    <n v="629"/>
    <n v="177"/>
    <n v="60588"/>
    <n v="59627"/>
    <n v="92"/>
    <s v="#Teslacoinnovation"/>
    <m/>
    <m/>
    <x v="1"/>
  </r>
  <r>
    <n v="4182"/>
    <n v="640"/>
    <n v="240"/>
    <n v="50184"/>
    <n v="49351"/>
    <n v="10"/>
    <s v="#Teslacoinnovation"/>
    <m/>
    <m/>
    <x v="3"/>
  </r>
  <r>
    <n v="4661"/>
    <n v="935"/>
    <n v="433"/>
    <n v="23305"/>
    <n v="22583"/>
    <n v="63"/>
    <s v="#Futureofdriving"/>
    <m/>
    <m/>
    <x v="3"/>
  </r>
  <r>
    <n v="3389"/>
    <n v="344"/>
    <n v="229"/>
    <n v="20334"/>
    <n v="19443"/>
    <n v="228"/>
    <s v="#Futureofdriving"/>
    <m/>
    <m/>
    <x v="3"/>
  </r>
  <r>
    <n v="4050"/>
    <n v="871"/>
    <n v="347"/>
    <n v="52650"/>
    <n v="51755"/>
    <n v="209"/>
    <s v="#Teslacoinnovation"/>
    <m/>
    <m/>
    <x v="0"/>
  </r>
  <r>
    <n v="2070"/>
    <n v="275"/>
    <n v="386"/>
    <n v="39330"/>
    <n v="38627"/>
    <n v="114"/>
    <s v="#Futureofdriving"/>
    <m/>
    <m/>
    <x v="4"/>
  </r>
  <r>
    <n v="3095"/>
    <n v="39"/>
    <n v="78"/>
    <n v="55710"/>
    <n v="54808"/>
    <n v="93"/>
    <s v="#Evrevolution"/>
    <m/>
    <m/>
    <x v="1"/>
  </r>
  <r>
    <n v="2166"/>
    <n v="354"/>
    <n v="117"/>
    <n v="10830"/>
    <n v="10245"/>
    <n v="24"/>
    <s v="#Evrevolution"/>
    <m/>
    <m/>
    <x v="4"/>
  </r>
  <r>
    <n v="4303"/>
    <n v="451"/>
    <n v="286"/>
    <n v="86060"/>
    <n v="85823"/>
    <n v="14"/>
    <s v="#Teslacoinnovation"/>
    <m/>
    <m/>
    <x v="3"/>
  </r>
  <r>
    <n v="3888"/>
    <n v="604"/>
    <n v="128"/>
    <n v="77760"/>
    <n v="77167"/>
    <n v="20"/>
    <s v="#Futureofdriving"/>
    <m/>
    <m/>
    <x v="2"/>
  </r>
  <r>
    <n v="4292"/>
    <n v="51"/>
    <n v="392"/>
    <n v="55796"/>
    <n v="54826"/>
    <n v="264"/>
    <s v="#Evrevolution"/>
    <m/>
    <m/>
    <x v="3"/>
  </r>
  <r>
    <n v="1082"/>
    <n v="209"/>
    <n v="484"/>
    <n v="19476"/>
    <n v="18654"/>
    <n v="20"/>
    <s v="#Teslacoinnovation"/>
    <m/>
    <m/>
    <x v="1"/>
  </r>
  <r>
    <n v="725"/>
    <n v="88"/>
    <n v="428"/>
    <n v="14500"/>
    <n v="13637"/>
    <n v="200"/>
    <s v="#Futureofdriving"/>
    <s v="#Teslacoinnovation"/>
    <s v="#Anytimeisteslatime"/>
    <x v="3"/>
  </r>
  <r>
    <n v="3860"/>
    <n v="201"/>
    <n v="279"/>
    <n v="61760"/>
    <n v="61660"/>
    <n v="235"/>
    <s v="#Teslacoinnovation"/>
    <m/>
    <m/>
    <x v="0"/>
  </r>
  <r>
    <n v="941"/>
    <n v="121"/>
    <n v="458"/>
    <n v="14115"/>
    <n v="13838"/>
    <n v="87"/>
    <s v="#Evrevolution"/>
    <m/>
    <m/>
    <x v="2"/>
  </r>
  <r>
    <n v="2949"/>
    <n v="476"/>
    <n v="403"/>
    <n v="44235"/>
    <n v="43705"/>
    <n v="135"/>
    <s v="#Teslacoinnovation"/>
    <m/>
    <m/>
    <x v="0"/>
  </r>
  <r>
    <n v="3731"/>
    <n v="115"/>
    <n v="135"/>
    <n v="55965"/>
    <n v="55436"/>
    <n v="103"/>
    <s v="#Teslacoinnovation"/>
    <m/>
    <m/>
    <x v="2"/>
  </r>
  <r>
    <n v="3820"/>
    <n v="697"/>
    <n v="268"/>
    <n v="45840"/>
    <n v="45631"/>
    <n v="171"/>
    <s v="#Teslacoinnovation"/>
    <s v="#Smoothlikenitrotesla"/>
    <m/>
    <x v="4"/>
  </r>
  <r>
    <n v="3360"/>
    <n v="525"/>
    <n v="500"/>
    <n v="60480"/>
    <n v="59610"/>
    <n v="192"/>
    <s v="#Teslacoinnovation"/>
    <m/>
    <m/>
    <x v="2"/>
  </r>
  <r>
    <n v="1263"/>
    <n v="397"/>
    <n v="357"/>
    <n v="25260"/>
    <n v="24615"/>
    <n v="137"/>
    <s v="#Evrevolution"/>
    <m/>
    <m/>
    <x v="4"/>
  </r>
  <r>
    <n v="2704"/>
    <n v="752"/>
    <n v="153"/>
    <n v="21632"/>
    <n v="20792"/>
    <n v="127"/>
    <s v="#Futureofdriving"/>
    <m/>
    <m/>
    <x v="1"/>
  </r>
  <r>
    <n v="804"/>
    <n v="639"/>
    <n v="43"/>
    <n v="4020"/>
    <n v="3144"/>
    <n v="11"/>
    <s v="#Evrevolution"/>
    <s v="#Betterwithtesla"/>
    <m/>
    <x v="1"/>
  </r>
  <r>
    <n v="4188"/>
    <n v="942"/>
    <n v="118"/>
    <n v="20940"/>
    <n v="20471"/>
    <n v="102"/>
    <s v="#Futureofdriving"/>
    <m/>
    <m/>
    <x v="1"/>
  </r>
  <r>
    <n v="521"/>
    <n v="746"/>
    <n v="315"/>
    <n v="4168"/>
    <n v="3399"/>
    <n v="282"/>
    <s v="#Futureofdriving"/>
    <m/>
    <m/>
    <x v="0"/>
  </r>
  <r>
    <n v="1461"/>
    <n v="184"/>
    <n v="344"/>
    <n v="21915"/>
    <n v="21675"/>
    <n v="15"/>
    <s v="#Futureofdriving"/>
    <s v="#Anytimeisteslatime"/>
    <m/>
    <x v="2"/>
  </r>
  <r>
    <n v="2719"/>
    <n v="17"/>
    <n v="285"/>
    <n v="40785"/>
    <n v="40281"/>
    <n v="40"/>
    <s v="#Teslacoinnovation"/>
    <m/>
    <m/>
    <x v="0"/>
  </r>
  <r>
    <n v="4775"/>
    <n v="173"/>
    <n v="206"/>
    <n v="47750"/>
    <n v="47544"/>
    <n v="187"/>
    <s v="#Futureofdriving"/>
    <m/>
    <m/>
    <x v="0"/>
  </r>
  <r>
    <n v="1071"/>
    <n v="519"/>
    <n v="22"/>
    <n v="16065"/>
    <n v="15865"/>
    <n v="103"/>
    <s v="#Teslacoinnovation"/>
    <m/>
    <m/>
    <x v="4"/>
  </r>
  <r>
    <n v="4453"/>
    <n v="111"/>
    <n v="420"/>
    <n v="31171"/>
    <n v="30565"/>
    <n v="23"/>
    <s v="#Teslacoinnovation"/>
    <m/>
    <m/>
    <x v="1"/>
  </r>
  <r>
    <n v="3655"/>
    <n v="568"/>
    <n v="286"/>
    <n v="32895"/>
    <n v="32015"/>
    <n v="199"/>
    <s v="#Teslacoinnovation"/>
    <m/>
    <m/>
    <x v="3"/>
  </r>
  <r>
    <n v="3961"/>
    <n v="761"/>
    <n v="131"/>
    <n v="67337"/>
    <n v="66615"/>
    <n v="161"/>
    <s v="#Futureofdriving"/>
    <m/>
    <m/>
    <x v="3"/>
  </r>
  <r>
    <n v="3196"/>
    <n v="941"/>
    <n v="376"/>
    <n v="35156"/>
    <n v="34444"/>
    <n v="241"/>
    <s v="#Teslacoinnovation"/>
    <m/>
    <m/>
    <x v="3"/>
  </r>
  <r>
    <n v="1644"/>
    <n v="546"/>
    <n v="150"/>
    <n v="27948"/>
    <n v="27184"/>
    <n v="300"/>
    <s v="#Evrevolution"/>
    <m/>
    <m/>
    <x v="3"/>
  </r>
  <r>
    <n v="53"/>
    <n v="81"/>
    <n v="379"/>
    <n v="954"/>
    <n v="7"/>
    <n v="148"/>
    <s v="#Teslacoinnovation"/>
    <m/>
    <m/>
    <x v="3"/>
  </r>
  <r>
    <n v="3352"/>
    <n v="941"/>
    <n v="482"/>
    <n v="43576"/>
    <n v="43338"/>
    <n v="240"/>
    <s v="#Futureofdriving"/>
    <m/>
    <m/>
    <x v="0"/>
  </r>
  <r>
    <n v="3770"/>
    <n v="917"/>
    <n v="129"/>
    <n v="71630"/>
    <n v="71322"/>
    <n v="76"/>
    <s v="#Futureofdriving"/>
    <m/>
    <m/>
    <x v="2"/>
  </r>
  <r>
    <n v="4782"/>
    <n v="721"/>
    <n v="82"/>
    <n v="86076"/>
    <n v="85339"/>
    <n v="19"/>
    <s v="#Evrevolution"/>
    <m/>
    <m/>
    <x v="2"/>
  </r>
  <r>
    <n v="4295"/>
    <n v="853"/>
    <n v="325"/>
    <n v="85900"/>
    <n v="85788"/>
    <n v="290"/>
    <s v="#Teslacoinnovation"/>
    <m/>
    <m/>
    <x v="4"/>
  </r>
  <r>
    <n v="3828"/>
    <n v="148"/>
    <n v="253"/>
    <n v="30624"/>
    <n v="30229"/>
    <n v="235"/>
    <s v="#Evrevolution"/>
    <m/>
    <m/>
    <x v="1"/>
  </r>
  <r>
    <n v="3813"/>
    <n v="935"/>
    <n v="274"/>
    <n v="68634"/>
    <n v="68488"/>
    <n v="251"/>
    <s v="#Futureofdriving"/>
    <m/>
    <m/>
    <x v="1"/>
  </r>
  <r>
    <n v="2180"/>
    <n v="263"/>
    <n v="387"/>
    <n v="30520"/>
    <n v="30059"/>
    <n v="174"/>
    <s v="#Evrevolution"/>
    <m/>
    <m/>
    <x v="1"/>
  </r>
  <r>
    <n v="4804"/>
    <n v="550"/>
    <n v="270"/>
    <n v="28824"/>
    <n v="28370"/>
    <n v="47"/>
    <s v="#Evrevolution"/>
    <m/>
    <m/>
    <x v="4"/>
  </r>
  <r>
    <n v="3166"/>
    <n v="90"/>
    <n v="341"/>
    <n v="56988"/>
    <n v="56125"/>
    <n v="135"/>
    <s v="#Evrevolution"/>
    <m/>
    <m/>
    <x v="0"/>
  </r>
  <r>
    <n v="2283"/>
    <n v="210"/>
    <n v="130"/>
    <n v="22830"/>
    <n v="22617"/>
    <n v="143"/>
    <s v="#Futureofdriving"/>
    <m/>
    <m/>
    <x v="0"/>
  </r>
  <r>
    <n v="3773"/>
    <n v="299"/>
    <n v="38"/>
    <n v="71687"/>
    <n v="71447"/>
    <n v="286"/>
    <s v="#Futureofdriving"/>
    <m/>
    <m/>
    <x v="2"/>
  </r>
  <r>
    <n v="4275"/>
    <n v="680"/>
    <n v="385"/>
    <n v="64125"/>
    <n v="63650"/>
    <n v="104"/>
    <s v="#Evrevolution"/>
    <s v="#Teslacoinnovation"/>
    <s v="#Anytimeisteslatime"/>
    <x v="4"/>
  </r>
  <r>
    <n v="2825"/>
    <n v="535"/>
    <n v="295"/>
    <n v="45200"/>
    <n v="44739"/>
    <n v="169"/>
    <s v="#Teslacoinnovation"/>
    <m/>
    <m/>
    <x v="2"/>
  </r>
  <r>
    <n v="3256"/>
    <n v="459"/>
    <n v="266"/>
    <n v="26048"/>
    <n v="25529"/>
    <n v="143"/>
    <s v="#Teslacoinnovation"/>
    <m/>
    <m/>
    <x v="0"/>
  </r>
  <r>
    <n v="780"/>
    <n v="928"/>
    <n v="301"/>
    <n v="8580"/>
    <n v="8081"/>
    <n v="91"/>
    <s v="#Evrevolution"/>
    <m/>
    <m/>
    <x v="3"/>
  </r>
  <r>
    <n v="3801"/>
    <n v="967"/>
    <n v="401"/>
    <n v="38010"/>
    <n v="37625"/>
    <n v="236"/>
    <s v="#Futureofdriving"/>
    <m/>
    <m/>
    <x v="3"/>
  </r>
  <r>
    <n v="4840"/>
    <n v="658"/>
    <n v="211"/>
    <n v="43560"/>
    <n v="43225"/>
    <n v="57"/>
    <s v="#Futureofdriving"/>
    <m/>
    <m/>
    <x v="3"/>
  </r>
  <r>
    <n v="1407"/>
    <n v="400"/>
    <n v="351"/>
    <n v="16884"/>
    <n v="15954"/>
    <n v="113"/>
    <s v="#Teslacoinnovation"/>
    <m/>
    <m/>
    <x v="2"/>
  </r>
  <r>
    <n v="1946"/>
    <n v="686"/>
    <n v="377"/>
    <n v="23352"/>
    <n v="22982"/>
    <n v="213"/>
    <s v="#Futureofdriving"/>
    <m/>
    <m/>
    <x v="3"/>
  </r>
  <r>
    <n v="2147"/>
    <n v="430"/>
    <n v="393"/>
    <n v="17176"/>
    <n v="16483"/>
    <n v="170"/>
    <s v="#Teslacoinnovation"/>
    <m/>
    <m/>
    <x v="1"/>
  </r>
  <r>
    <n v="4832"/>
    <n v="893"/>
    <n v="10"/>
    <n v="91808"/>
    <n v="91296"/>
    <n v="182"/>
    <s v="#Teslacoinnovation"/>
    <m/>
    <m/>
    <x v="1"/>
  </r>
  <r>
    <n v="606"/>
    <n v="789"/>
    <n v="470"/>
    <n v="7878"/>
    <n v="7389"/>
    <n v="239"/>
    <s v="#Evrevolution"/>
    <m/>
    <m/>
    <x v="3"/>
  </r>
  <r>
    <n v="2107"/>
    <n v="550"/>
    <n v="349"/>
    <n v="35819"/>
    <n v="35340"/>
    <n v="191"/>
    <s v="#Evrevolution"/>
    <m/>
    <m/>
    <x v="4"/>
  </r>
  <r>
    <n v="2603"/>
    <n v="690"/>
    <n v="205"/>
    <n v="13015"/>
    <n v="12130"/>
    <n v="20"/>
    <s v="#Futureofdriving"/>
    <m/>
    <m/>
    <x v="0"/>
  </r>
  <r>
    <n v="3798"/>
    <n v="31"/>
    <n v="279"/>
    <n v="75960"/>
    <n v="75813"/>
    <n v="266"/>
    <s v="#Teslacoinnovation"/>
    <m/>
    <m/>
    <x v="2"/>
  </r>
  <r>
    <n v="4672"/>
    <n v="325"/>
    <n v="32"/>
    <n v="88768"/>
    <n v="87833"/>
    <n v="118"/>
    <s v="#Evrevolution"/>
    <m/>
    <m/>
    <x v="1"/>
  </r>
  <r>
    <n v="1877"/>
    <n v="745"/>
    <n v="225"/>
    <n v="11262"/>
    <n v="10967"/>
    <n v="41"/>
    <s v="#Evrevolution"/>
    <m/>
    <m/>
    <x v="4"/>
  </r>
  <r>
    <n v="1813"/>
    <n v="623"/>
    <n v="72"/>
    <n v="19943"/>
    <n v="18959"/>
    <n v="85"/>
    <s v="#Evrevolution"/>
    <m/>
    <m/>
    <x v="3"/>
  </r>
  <r>
    <n v="1816"/>
    <n v="29"/>
    <n v="41"/>
    <n v="19976"/>
    <n v="19262"/>
    <n v="283"/>
    <s v="#Teslacoinnovation"/>
    <m/>
    <m/>
    <x v="3"/>
  </r>
  <r>
    <n v="1257"/>
    <n v="19"/>
    <n v="351"/>
    <n v="12570"/>
    <n v="11660"/>
    <n v="194"/>
    <s v="#Futureofdriving"/>
    <s v="#Anytimeisteslatime"/>
    <s v="#Evrevolution"/>
    <x v="0"/>
  </r>
  <r>
    <n v="3000"/>
    <n v="382"/>
    <n v="325"/>
    <n v="36000"/>
    <n v="35819"/>
    <n v="19"/>
    <s v="#Futureofdriving"/>
    <m/>
    <m/>
    <x v="2"/>
  </r>
  <r>
    <n v="4731"/>
    <n v="173"/>
    <n v="276"/>
    <n v="28386"/>
    <n v="28185"/>
    <n v="89"/>
    <s v="#Evrevolution"/>
    <m/>
    <m/>
    <x v="3"/>
  </r>
  <r>
    <n v="4177"/>
    <n v="569"/>
    <n v="55"/>
    <n v="25062"/>
    <n v="24847"/>
    <n v="230"/>
    <s v="#Futureofdriving"/>
    <m/>
    <m/>
    <x v="2"/>
  </r>
  <r>
    <n v="4518"/>
    <n v="285"/>
    <n v="383"/>
    <n v="67770"/>
    <n v="67621"/>
    <n v="31"/>
    <s v="#Evrevolution"/>
    <m/>
    <m/>
    <x v="0"/>
  </r>
  <r>
    <n v="3160"/>
    <n v="204"/>
    <n v="297"/>
    <n v="44240"/>
    <n v="43666"/>
    <n v="49"/>
    <s v="#Futureofdriving"/>
    <s v="#Anytimeisteslatime"/>
    <m/>
    <x v="4"/>
  </r>
  <r>
    <n v="4671"/>
    <n v="876"/>
    <n v="366"/>
    <n v="51381"/>
    <n v="50565"/>
    <n v="245"/>
    <s v="#Teslacoinnovation"/>
    <m/>
    <m/>
    <x v="4"/>
  </r>
  <r>
    <n v="257"/>
    <n v="966"/>
    <n v="398"/>
    <n v="3341"/>
    <n v="2753"/>
    <n v="287"/>
    <s v="#Futureofdriving"/>
    <m/>
    <m/>
    <x v="2"/>
  </r>
  <r>
    <n v="2946"/>
    <n v="498"/>
    <n v="367"/>
    <n v="29460"/>
    <n v="28527"/>
    <n v="60"/>
    <s v="#Futureofdriving"/>
    <m/>
    <m/>
    <x v="3"/>
  </r>
  <r>
    <n v="1171"/>
    <n v="286"/>
    <n v="231"/>
    <n v="22249"/>
    <n v="21282"/>
    <n v="114"/>
    <s v="#Evrevolution"/>
    <m/>
    <m/>
    <x v="2"/>
  </r>
  <r>
    <n v="4450"/>
    <n v="983"/>
    <n v="143"/>
    <n v="75650"/>
    <n v="75008"/>
    <n v="12"/>
    <s v="#Futureofdriving"/>
    <m/>
    <m/>
    <x v="3"/>
  </r>
  <r>
    <n v="4126"/>
    <n v="426"/>
    <n v="486"/>
    <n v="78394"/>
    <n v="77798"/>
    <n v="88"/>
    <s v="#Futureofdriving"/>
    <m/>
    <m/>
    <x v="4"/>
  </r>
  <r>
    <n v="2143"/>
    <n v="12"/>
    <n v="204"/>
    <n v="40717"/>
    <n v="40125"/>
    <n v="248"/>
    <s v="#Evrevolution"/>
    <m/>
    <m/>
    <x v="0"/>
  </r>
  <r>
    <n v="1000"/>
    <n v="978"/>
    <n v="162"/>
    <n v="6000"/>
    <n v="5221"/>
    <n v="223"/>
    <s v="#Evrevolution"/>
    <m/>
    <m/>
    <x v="0"/>
  </r>
  <r>
    <n v="827"/>
    <n v="77"/>
    <n v="402"/>
    <n v="14886"/>
    <n v="14129"/>
    <n v="254"/>
    <s v="#Evrevolution"/>
    <m/>
    <m/>
    <x v="0"/>
  </r>
  <r>
    <n v="2120"/>
    <n v="38"/>
    <n v="212"/>
    <n v="12720"/>
    <n v="12564"/>
    <n v="21"/>
    <s v="#Futureofdriving"/>
    <m/>
    <m/>
    <x v="4"/>
  </r>
  <r>
    <n v="4021"/>
    <n v="794"/>
    <n v="77"/>
    <n v="36189"/>
    <n v="35505"/>
    <n v="174"/>
    <s v="#Evrevolution"/>
    <m/>
    <m/>
    <x v="1"/>
  </r>
  <r>
    <n v="3704"/>
    <n v="186"/>
    <n v="458"/>
    <n v="25928"/>
    <n v="25081"/>
    <n v="131"/>
    <s v="#Teslacoinnovation"/>
    <m/>
    <m/>
    <x v="1"/>
  </r>
  <r>
    <n v="1206"/>
    <n v="238"/>
    <n v="36"/>
    <n v="9648"/>
    <n v="9417"/>
    <n v="237"/>
    <s v="#Teslacoinnovation"/>
    <m/>
    <m/>
    <x v="1"/>
  </r>
  <r>
    <n v="4321"/>
    <n v="874"/>
    <n v="172"/>
    <n v="30247"/>
    <n v="29254"/>
    <n v="122"/>
    <s v="#Teslacoinnovation"/>
    <m/>
    <m/>
    <x v="4"/>
  </r>
  <r>
    <n v="360"/>
    <n v="590"/>
    <n v="393"/>
    <n v="4680"/>
    <n v="4322"/>
    <n v="208"/>
    <s v="#Futureofdriving"/>
    <m/>
    <m/>
    <x v="0"/>
  </r>
  <r>
    <n v="880"/>
    <n v="297"/>
    <n v="345"/>
    <n v="12320"/>
    <n v="11978"/>
    <n v="238"/>
    <s v="#Teslacoinnovation"/>
    <s v="#Anytimeisteslatime"/>
    <m/>
    <x v="1"/>
  </r>
  <r>
    <n v="3575"/>
    <n v="749"/>
    <n v="111"/>
    <n v="21450"/>
    <n v="20785"/>
    <n v="195"/>
    <s v="#Evrevolution"/>
    <m/>
    <m/>
    <x v="0"/>
  </r>
  <r>
    <n v="571"/>
    <n v="190"/>
    <n v="352"/>
    <n v="9707"/>
    <n v="9418"/>
    <n v="231"/>
    <s v="#Teslacoinnovation"/>
    <m/>
    <m/>
    <x v="4"/>
  </r>
  <r>
    <n v="2076"/>
    <n v="195"/>
    <n v="104"/>
    <n v="33216"/>
    <n v="32244"/>
    <n v="51"/>
    <s v="#Futureofdriving"/>
    <m/>
    <m/>
    <x v="4"/>
  </r>
  <r>
    <n v="2878"/>
    <n v="248"/>
    <n v="416"/>
    <n v="43170"/>
    <n v="42667"/>
    <n v="75"/>
    <s v="#Futureofdriving"/>
    <m/>
    <m/>
    <x v="3"/>
  </r>
  <r>
    <n v="954"/>
    <n v="324"/>
    <n v="288"/>
    <n v="19080"/>
    <n v="18859"/>
    <n v="21"/>
    <s v="#Futureofdriving"/>
    <m/>
    <m/>
    <x v="4"/>
  </r>
  <r>
    <n v="1226"/>
    <n v="119"/>
    <n v="7"/>
    <n v="14712"/>
    <n v="14049"/>
    <n v="123"/>
    <s v="#Evrevolution"/>
    <m/>
    <m/>
    <x v="4"/>
  </r>
  <r>
    <n v="4780"/>
    <n v="691"/>
    <n v="380"/>
    <n v="86040"/>
    <n v="85743"/>
    <n v="262"/>
    <s v="#Futureofdriving"/>
    <m/>
    <m/>
    <x v="3"/>
  </r>
  <r>
    <n v="3138"/>
    <n v="123"/>
    <n v="291"/>
    <n v="28242"/>
    <n v="27550"/>
    <n v="87"/>
    <s v="#Teslacoinnovation"/>
    <m/>
    <m/>
    <x v="4"/>
  </r>
  <r>
    <n v="142"/>
    <n v="784"/>
    <n v="183"/>
    <n v="1704"/>
    <n v="995"/>
    <n v="154"/>
    <s v="#Futureofdriving"/>
    <m/>
    <m/>
    <x v="4"/>
  </r>
  <r>
    <n v="438"/>
    <n v="153"/>
    <n v="275"/>
    <n v="3066"/>
    <n v="2701"/>
    <n v="282"/>
    <s v="#Teslacoinnovation"/>
    <m/>
    <m/>
    <x v="0"/>
  </r>
  <r>
    <n v="4725"/>
    <n v="400"/>
    <n v="362"/>
    <n v="75600"/>
    <n v="74927"/>
    <n v="43"/>
    <s v="#Futureofdriving"/>
    <m/>
    <m/>
    <x v="4"/>
  </r>
  <r>
    <n v="1702"/>
    <n v="750"/>
    <n v="179"/>
    <n v="34040"/>
    <n v="33174"/>
    <n v="76"/>
    <s v="#Evrevolution"/>
    <m/>
    <m/>
    <x v="2"/>
  </r>
  <r>
    <n v="4242"/>
    <n v="555"/>
    <n v="131"/>
    <n v="33936"/>
    <n v="33802"/>
    <n v="265"/>
    <s v="#Futureofdriving"/>
    <m/>
    <m/>
    <x v="1"/>
  </r>
  <r>
    <n v="1076"/>
    <n v="313"/>
    <n v="306"/>
    <n v="11836"/>
    <n v="11596"/>
    <n v="104"/>
    <s v="#Futureofdriving"/>
    <m/>
    <m/>
    <x v="2"/>
  </r>
  <r>
    <n v="1094"/>
    <n v="472"/>
    <n v="21"/>
    <n v="9846"/>
    <n v="9609"/>
    <n v="112"/>
    <s v="#Evrevolution"/>
    <m/>
    <m/>
    <x v="1"/>
  </r>
  <r>
    <n v="914"/>
    <n v="464"/>
    <n v="246"/>
    <n v="11882"/>
    <n v="11500"/>
    <n v="282"/>
    <s v="#Futureofdriving"/>
    <s v="#Teslacoinnovation"/>
    <s v="#Anytimeisteslatime"/>
    <x v="4"/>
  </r>
  <r>
    <n v="1164"/>
    <n v="616"/>
    <n v="324"/>
    <n v="6984"/>
    <n v="6636"/>
    <n v="82"/>
    <s v="#Evrevolution"/>
    <m/>
    <m/>
    <x v="2"/>
  </r>
  <r>
    <n v="3796"/>
    <n v="667"/>
    <n v="395"/>
    <n v="64532"/>
    <n v="63550"/>
    <n v="292"/>
    <s v="#Teslacoinnovation"/>
    <m/>
    <m/>
    <x v="1"/>
  </r>
  <r>
    <n v="2291"/>
    <n v="78"/>
    <n v="485"/>
    <n v="18328"/>
    <n v="18101"/>
    <n v="10"/>
    <s v="#Evrevolution"/>
    <s v="#Smoothlikenitrotesla"/>
    <m/>
    <x v="0"/>
  </r>
  <r>
    <n v="3663"/>
    <n v="17"/>
    <n v="295"/>
    <n v="51282"/>
    <n v="50567"/>
    <n v="84"/>
    <s v="#Evrevolution"/>
    <m/>
    <m/>
    <x v="3"/>
  </r>
  <r>
    <n v="103"/>
    <n v="770"/>
    <n v="19"/>
    <n v="1030"/>
    <n v="410"/>
    <n v="262"/>
    <s v="#Teslacoinnovation"/>
    <m/>
    <m/>
    <x v="4"/>
  </r>
  <r>
    <n v="4133"/>
    <n v="466"/>
    <n v="327"/>
    <n v="24798"/>
    <n v="24620"/>
    <n v="176"/>
    <s v="#Evrevolution"/>
    <m/>
    <m/>
    <x v="4"/>
  </r>
  <r>
    <n v="802"/>
    <n v="262"/>
    <n v="244"/>
    <n v="14436"/>
    <n v="14280"/>
    <n v="49"/>
    <s v="#Evrevolution"/>
    <m/>
    <m/>
    <x v="2"/>
  </r>
  <r>
    <n v="3774"/>
    <n v="239"/>
    <n v="39"/>
    <n v="60384"/>
    <n v="59490"/>
    <n v="241"/>
    <s v="#Teslacoinnovation"/>
    <m/>
    <m/>
    <x v="3"/>
  </r>
  <r>
    <n v="2174"/>
    <n v="658"/>
    <n v="15"/>
    <n v="13044"/>
    <n v="12206"/>
    <n v="137"/>
    <s v="#Teslacoinnovation"/>
    <m/>
    <m/>
    <x v="3"/>
  </r>
  <r>
    <n v="4000"/>
    <n v="689"/>
    <n v="488"/>
    <n v="40000"/>
    <n v="39569"/>
    <n v="44"/>
    <s v="#Futureofdriving"/>
    <m/>
    <m/>
    <x v="2"/>
  </r>
  <r>
    <n v="1048"/>
    <n v="374"/>
    <n v="450"/>
    <n v="9432"/>
    <n v="8882"/>
    <n v="158"/>
    <s v="#Teslacoinnovation"/>
    <m/>
    <m/>
    <x v="3"/>
  </r>
  <r>
    <n v="3073"/>
    <n v="553"/>
    <n v="174"/>
    <n v="52241"/>
    <n v="51605"/>
    <n v="246"/>
    <s v="#Evrevolution"/>
    <m/>
    <m/>
    <x v="3"/>
  </r>
  <r>
    <n v="498"/>
    <n v="38"/>
    <n v="42"/>
    <n v="4482"/>
    <n v="3647"/>
    <n v="32"/>
    <s v="#Futureofdriving"/>
    <m/>
    <m/>
    <x v="2"/>
  </r>
  <r>
    <n v="4363"/>
    <n v="649"/>
    <n v="140"/>
    <n v="21815"/>
    <n v="21481"/>
    <n v="157"/>
    <s v="#Evrevolution"/>
    <m/>
    <m/>
    <x v="2"/>
  </r>
  <r>
    <n v="2634"/>
    <n v="726"/>
    <n v="241"/>
    <n v="28974"/>
    <n v="28102"/>
    <n v="277"/>
    <s v="#Evrevolution"/>
    <m/>
    <m/>
    <x v="2"/>
  </r>
  <r>
    <n v="2692"/>
    <n v="115"/>
    <n v="64"/>
    <n v="21536"/>
    <n v="21120"/>
    <n v="224"/>
    <s v="#Futureofdriving"/>
    <m/>
    <m/>
    <x v="0"/>
  </r>
  <r>
    <n v="4739"/>
    <n v="527"/>
    <n v="135"/>
    <n v="61607"/>
    <n v="61333"/>
    <n v="36"/>
    <s v="#Teslacoinnovation"/>
    <s v="#Anytimeisteslatime"/>
    <m/>
    <x v="0"/>
  </r>
  <r>
    <n v="3929"/>
    <n v="262"/>
    <n v="278"/>
    <n v="43219"/>
    <n v="42841"/>
    <n v="39"/>
    <s v="#Evrevolution"/>
    <m/>
    <m/>
    <x v="4"/>
  </r>
  <r>
    <n v="2103"/>
    <n v="892"/>
    <n v="103"/>
    <n v="39957"/>
    <n v="39466"/>
    <n v="28"/>
    <s v="#Futureofdriving"/>
    <m/>
    <m/>
    <x v="1"/>
  </r>
  <r>
    <n v="2200"/>
    <n v="504"/>
    <n v="239"/>
    <n v="37400"/>
    <n v="36938"/>
    <n v="225"/>
    <s v="#Futureofdriving"/>
    <m/>
    <m/>
    <x v="0"/>
  </r>
  <r>
    <n v="602"/>
    <n v="594"/>
    <n v="156"/>
    <n v="4214"/>
    <n v="3363"/>
    <n v="164"/>
    <s v="#Teslacoinnovation"/>
    <m/>
    <m/>
    <x v="3"/>
  </r>
  <r>
    <n v="4579"/>
    <n v="125"/>
    <n v="300"/>
    <n v="59527"/>
    <n v="59400"/>
    <n v="269"/>
    <s v="#Evrevolution"/>
    <m/>
    <m/>
    <x v="2"/>
  </r>
  <r>
    <n v="1686"/>
    <n v="904"/>
    <n v="472"/>
    <n v="18546"/>
    <n v="18171"/>
    <n v="52"/>
    <s v="#Futureofdriving"/>
    <m/>
    <m/>
    <x v="0"/>
  </r>
  <r>
    <n v="3338"/>
    <n v="277"/>
    <n v="118"/>
    <n v="60084"/>
    <n v="59842"/>
    <n v="252"/>
    <s v="#Teslacoinnovation"/>
    <m/>
    <m/>
    <x v="1"/>
  </r>
  <r>
    <n v="2418"/>
    <n v="754"/>
    <n v="54"/>
    <n v="43524"/>
    <n v="42743"/>
    <n v="182"/>
    <s v="#Evrevolution"/>
    <m/>
    <m/>
    <x v="2"/>
  </r>
  <r>
    <n v="3641"/>
    <n v="226"/>
    <n v="46"/>
    <n v="40051"/>
    <n v="39319"/>
    <n v="296"/>
    <s v="#Evrevolution"/>
    <m/>
    <m/>
    <x v="4"/>
  </r>
  <r>
    <n v="2404"/>
    <n v="363"/>
    <n v="138"/>
    <n v="19232"/>
    <n v="18636"/>
    <n v="128"/>
    <s v="#Evrevolution"/>
    <m/>
    <m/>
    <x v="4"/>
  </r>
  <r>
    <n v="1878"/>
    <n v="62"/>
    <n v="179"/>
    <n v="37560"/>
    <n v="36874"/>
    <n v="142"/>
    <s v="#Teslacoinnovation"/>
    <m/>
    <m/>
    <x v="4"/>
  </r>
  <r>
    <n v="246"/>
    <n v="149"/>
    <n v="130"/>
    <n v="4674"/>
    <n v="4390"/>
    <n v="217"/>
    <s v="#Futureofdriving"/>
    <m/>
    <m/>
    <x v="3"/>
  </r>
  <r>
    <n v="2795"/>
    <n v="105"/>
    <n v="49"/>
    <n v="53105"/>
    <n v="52307"/>
    <n v="204"/>
    <s v="#Teslacoinnovation"/>
    <m/>
    <m/>
    <x v="3"/>
  </r>
  <r>
    <n v="4332"/>
    <n v="771"/>
    <n v="219"/>
    <n v="60648"/>
    <n v="60397"/>
    <n v="10"/>
    <s v="#Teslacoinnovation"/>
    <s v="#Evrevolution"/>
    <s v="#Betterwithtesla"/>
    <x v="3"/>
  </r>
  <r>
    <n v="4134"/>
    <n v="824"/>
    <n v="99"/>
    <n v="41340"/>
    <n v="41050"/>
    <n v="177"/>
    <s v="#Evrevolution"/>
    <m/>
    <m/>
    <x v="2"/>
  </r>
  <r>
    <n v="1431"/>
    <n v="951"/>
    <n v="26"/>
    <n v="8586"/>
    <n v="8396"/>
    <n v="150"/>
    <s v="#Evrevolution"/>
    <m/>
    <m/>
    <x v="3"/>
  </r>
  <r>
    <n v="3239"/>
    <n v="43"/>
    <n v="211"/>
    <n v="22673"/>
    <n v="22171"/>
    <n v="230"/>
    <s v="#Teslacoinnovation"/>
    <m/>
    <m/>
    <x v="0"/>
  </r>
  <r>
    <n v="400"/>
    <n v="680"/>
    <n v="434"/>
    <n v="6400"/>
    <n v="5472"/>
    <n v="160"/>
    <s v="#Futureofdriving"/>
    <m/>
    <m/>
    <x v="0"/>
  </r>
  <r>
    <n v="4858"/>
    <n v="317"/>
    <n v="129"/>
    <n v="53438"/>
    <n v="52687"/>
    <n v="223"/>
    <s v="#Evrevolution"/>
    <m/>
    <m/>
    <x v="3"/>
  </r>
  <r>
    <n v="1762"/>
    <n v="405"/>
    <n v="423"/>
    <n v="22906"/>
    <n v="21925"/>
    <n v="25"/>
    <s v="#Teslacoinnovation"/>
    <m/>
    <m/>
    <x v="2"/>
  </r>
  <r>
    <n v="3134"/>
    <n v="888"/>
    <n v="444"/>
    <n v="21938"/>
    <n v="21337"/>
    <n v="130"/>
    <s v="#Evrevolution"/>
    <m/>
    <m/>
    <x v="4"/>
  </r>
  <r>
    <n v="1869"/>
    <n v="453"/>
    <n v="490"/>
    <n v="14952"/>
    <n v="14309"/>
    <n v="275"/>
    <s v="#Teslacoinnovation"/>
    <m/>
    <m/>
    <x v="4"/>
  </r>
  <r>
    <n v="3689"/>
    <n v="48"/>
    <n v="306"/>
    <n v="40579"/>
    <n v="39588"/>
    <n v="212"/>
    <s v="#Evrevolution"/>
    <m/>
    <m/>
    <x v="0"/>
  </r>
  <r>
    <n v="2493"/>
    <n v="97"/>
    <n v="44"/>
    <n v="42381"/>
    <n v="41991"/>
    <n v="242"/>
    <s v="#Teslacoinnovation"/>
    <s v="#Anytimeisteslatime"/>
    <m/>
    <x v="4"/>
  </r>
  <r>
    <n v="4241"/>
    <n v="902"/>
    <n v="47"/>
    <n v="72097"/>
    <n v="71598"/>
    <n v="167"/>
    <s v="#Teslacoinnovation"/>
    <m/>
    <m/>
    <x v="0"/>
  </r>
  <r>
    <n v="1950"/>
    <n v="295"/>
    <n v="478"/>
    <n v="37050"/>
    <n v="36272"/>
    <n v="119"/>
    <s v="#Teslacoinnovation"/>
    <m/>
    <m/>
    <x v="1"/>
  </r>
  <r>
    <n v="3440"/>
    <n v="13"/>
    <n v="20"/>
    <n v="58480"/>
    <n v="58146"/>
    <n v="210"/>
    <s v="#Teslacoinnovation"/>
    <s v="#Smoothlikenitrotesla"/>
    <m/>
    <x v="4"/>
  </r>
  <r>
    <n v="4523"/>
    <n v="61"/>
    <n v="157"/>
    <n v="49753"/>
    <n v="49329"/>
    <n v="71"/>
    <s v="#Evrevolution"/>
    <m/>
    <m/>
    <x v="1"/>
  </r>
  <r>
    <n v="1238"/>
    <n v="366"/>
    <n v="444"/>
    <n v="19808"/>
    <n v="19334"/>
    <n v="123"/>
    <s v="#Futureofdriving"/>
    <m/>
    <m/>
    <x v="1"/>
  </r>
  <r>
    <n v="3099"/>
    <n v="694"/>
    <n v="171"/>
    <n v="43386"/>
    <n v="42921"/>
    <n v="52"/>
    <s v="#Teslacoinnovation"/>
    <m/>
    <m/>
    <x v="3"/>
  </r>
  <r>
    <n v="2164"/>
    <n v="549"/>
    <n v="274"/>
    <n v="28132"/>
    <n v="27361"/>
    <n v="177"/>
    <s v="#Teslacoinnovation"/>
    <m/>
    <m/>
    <x v="4"/>
  </r>
  <r>
    <n v="1575"/>
    <n v="771"/>
    <n v="486"/>
    <n v="25200"/>
    <n v="24826"/>
    <n v="17"/>
    <s v="#Futureofdriving"/>
    <m/>
    <m/>
    <x v="4"/>
  </r>
  <r>
    <n v="3128"/>
    <n v="211"/>
    <n v="197"/>
    <n v="59432"/>
    <n v="59182"/>
    <n v="238"/>
    <s v="#Evrevolution"/>
    <m/>
    <m/>
    <x v="1"/>
  </r>
  <r>
    <n v="1766"/>
    <n v="92"/>
    <n v="424"/>
    <n v="24724"/>
    <n v="24333"/>
    <n v="52"/>
    <s v="#Evrevolution"/>
    <m/>
    <m/>
    <x v="1"/>
  </r>
  <r>
    <n v="562"/>
    <n v="158"/>
    <n v="149"/>
    <n v="3372"/>
    <n v="2940"/>
    <n v="93"/>
    <s v="#Teslacoinnovation"/>
    <m/>
    <m/>
    <x v="2"/>
  </r>
  <r>
    <n v="2214"/>
    <n v="249"/>
    <n v="152"/>
    <n v="15498"/>
    <n v="14800"/>
    <n v="180"/>
    <s v="#Evrevolution"/>
    <m/>
    <m/>
    <x v="1"/>
  </r>
  <r>
    <n v="3092"/>
    <n v="106"/>
    <n v="291"/>
    <n v="27828"/>
    <n v="27217"/>
    <n v="102"/>
    <s v="#Futureofdriving"/>
    <m/>
    <m/>
    <x v="1"/>
  </r>
  <r>
    <n v="1841"/>
    <n v="851"/>
    <n v="342"/>
    <n v="34979"/>
    <n v="34154"/>
    <n v="255"/>
    <s v="#Futureofdriving"/>
    <m/>
    <m/>
    <x v="4"/>
  </r>
  <r>
    <n v="3068"/>
    <n v="137"/>
    <n v="329"/>
    <n v="39884"/>
    <n v="39404"/>
    <n v="266"/>
    <s v="#Evrevolution"/>
    <m/>
    <m/>
    <x v="0"/>
  </r>
  <r>
    <n v="985"/>
    <n v="932"/>
    <n v="287"/>
    <n v="6895"/>
    <n v="6757"/>
    <n v="64"/>
    <s v="#Futureofdriving"/>
    <m/>
    <m/>
    <x v="4"/>
  </r>
  <r>
    <n v="4054"/>
    <n v="488"/>
    <n v="373"/>
    <n v="77026"/>
    <n v="76881"/>
    <n v="25"/>
    <s v="#Teslacoinnovation"/>
    <m/>
    <m/>
    <x v="2"/>
  </r>
  <r>
    <n v="3367"/>
    <n v="302"/>
    <n v="57"/>
    <n v="63973"/>
    <n v="63789"/>
    <n v="157"/>
    <s v="#Futureofdriving"/>
    <m/>
    <m/>
    <x v="0"/>
  </r>
  <r>
    <n v="2610"/>
    <n v="126"/>
    <n v="288"/>
    <n v="15660"/>
    <n v="15145"/>
    <n v="73"/>
    <s v="#Evrevolution"/>
    <m/>
    <m/>
    <x v="1"/>
  </r>
  <r>
    <n v="3182"/>
    <n v="559"/>
    <n v="160"/>
    <n v="57276"/>
    <n v="56890"/>
    <n v="163"/>
    <s v="#Futureofdriving"/>
    <m/>
    <m/>
    <x v="4"/>
  </r>
  <r>
    <n v="1814"/>
    <n v="653"/>
    <n v="363"/>
    <n v="25396"/>
    <n v="25286"/>
    <n v="39"/>
    <s v="#Futureofdriving"/>
    <s v="#Smoothlikenitrotesla"/>
    <m/>
    <x v="2"/>
  </r>
  <r>
    <n v="3811"/>
    <n v="866"/>
    <n v="216"/>
    <n v="34299"/>
    <n v="34088"/>
    <n v="233"/>
    <s v="#Teslacoinnovation"/>
    <m/>
    <m/>
    <x v="4"/>
  </r>
  <r>
    <n v="3649"/>
    <n v="215"/>
    <n v="413"/>
    <n v="25543"/>
    <n v="24963"/>
    <n v="167"/>
    <s v="#Futureofdriving"/>
    <m/>
    <m/>
    <x v="3"/>
  </r>
  <r>
    <n v="4501"/>
    <n v="375"/>
    <n v="323"/>
    <n v="22505"/>
    <n v="21836"/>
    <n v="132"/>
    <s v="#Teslacoinnovation"/>
    <m/>
    <m/>
    <x v="0"/>
  </r>
  <r>
    <n v="1292"/>
    <n v="626"/>
    <n v="496"/>
    <n v="25840"/>
    <n v="24916"/>
    <n v="149"/>
    <s v="#Futureofdriving"/>
    <m/>
    <m/>
    <x v="3"/>
  </r>
  <r>
    <n v="2382"/>
    <n v="265"/>
    <n v="134"/>
    <n v="38112"/>
    <n v="37437"/>
    <n v="249"/>
    <s v="#Futureofdriving"/>
    <m/>
    <m/>
    <x v="4"/>
  </r>
  <r>
    <n v="456"/>
    <n v="629"/>
    <n v="428"/>
    <n v="8208"/>
    <n v="7377"/>
    <n v="205"/>
    <s v="#Futureofdriving"/>
    <m/>
    <m/>
    <x v="4"/>
  </r>
  <r>
    <n v="2647"/>
    <n v="304"/>
    <n v="170"/>
    <n v="18529"/>
    <n v="17841"/>
    <n v="46"/>
    <s v="#Futureofdriving"/>
    <m/>
    <m/>
    <x v="3"/>
  </r>
  <r>
    <n v="1121"/>
    <n v="135"/>
    <n v="18"/>
    <n v="15694"/>
    <n v="14957"/>
    <n v="99"/>
    <s v="#Teslacoinnovation"/>
    <m/>
    <m/>
    <x v="4"/>
  </r>
  <r>
    <n v="129"/>
    <n v="643"/>
    <n v="136"/>
    <n v="1290"/>
    <n v="839"/>
    <n v="238"/>
    <s v="#Teslacoinnovation"/>
    <m/>
    <m/>
    <x v="4"/>
  </r>
  <r>
    <n v="1741"/>
    <n v="164"/>
    <n v="318"/>
    <n v="8705"/>
    <n v="8272"/>
    <n v="121"/>
    <s v="#Teslacoinnovation"/>
    <m/>
    <m/>
    <x v="1"/>
  </r>
  <r>
    <n v="302"/>
    <n v="47"/>
    <n v="430"/>
    <n v="5738"/>
    <n v="4890"/>
    <n v="25"/>
    <s v="#Teslacoinnovation"/>
    <m/>
    <m/>
    <x v="4"/>
  </r>
  <r>
    <n v="4767"/>
    <n v="190"/>
    <n v="340"/>
    <n v="28602"/>
    <n v="28044"/>
    <n v="210"/>
    <s v="#Evrevolution"/>
    <m/>
    <m/>
    <x v="3"/>
  </r>
  <r>
    <n v="1556"/>
    <n v="195"/>
    <n v="131"/>
    <n v="9336"/>
    <n v="8875"/>
    <n v="137"/>
    <s v="#Teslacoinnovation"/>
    <m/>
    <m/>
    <x v="0"/>
  </r>
  <r>
    <n v="3718"/>
    <n v="385"/>
    <n v="310"/>
    <n v="70642"/>
    <n v="69749"/>
    <n v="233"/>
    <s v="#Teslacoinnovation"/>
    <m/>
    <m/>
    <x v="0"/>
  </r>
  <r>
    <n v="4750"/>
    <n v="151"/>
    <n v="415"/>
    <n v="38000"/>
    <n v="37792"/>
    <n v="299"/>
    <s v="#Evrevolution"/>
    <m/>
    <m/>
    <x v="4"/>
  </r>
  <r>
    <n v="1970"/>
    <n v="675"/>
    <n v="478"/>
    <n v="9850"/>
    <n v="8924"/>
    <n v="117"/>
    <s v="#Futureofdriving"/>
    <m/>
    <m/>
    <x v="1"/>
  </r>
  <r>
    <n v="4663"/>
    <n v="145"/>
    <n v="225"/>
    <n v="69945"/>
    <n v="69596"/>
    <n v="35"/>
    <s v="#Evrevolution"/>
    <m/>
    <m/>
    <x v="4"/>
  </r>
  <r>
    <n v="1606"/>
    <n v="547"/>
    <n v="316"/>
    <n v="32120"/>
    <n v="31736"/>
    <n v="225"/>
    <s v="#Teslacoinnovation"/>
    <s v="#Anytimeisteslatime"/>
    <m/>
    <x v="0"/>
  </r>
  <r>
    <n v="1436"/>
    <n v="765"/>
    <n v="496"/>
    <n v="12924"/>
    <n v="12701"/>
    <n v="197"/>
    <s v="#Futureofdriving"/>
    <m/>
    <m/>
    <x v="3"/>
  </r>
  <r>
    <n v="2728"/>
    <n v="533"/>
    <n v="215"/>
    <n v="40920"/>
    <n v="40816"/>
    <n v="137"/>
    <s v="#Futureofdriving"/>
    <m/>
    <m/>
    <x v="0"/>
  </r>
  <r>
    <n v="1952"/>
    <n v="344"/>
    <n v="287"/>
    <n v="15616"/>
    <n v="15403"/>
    <n v="235"/>
    <s v="#Futureofdriving"/>
    <s v="#Teslacoinnovation"/>
    <s v="#Anytimeisteslatime"/>
    <x v="0"/>
  </r>
  <r>
    <n v="4872"/>
    <n v="925"/>
    <n v="176"/>
    <n v="82824"/>
    <n v="82543"/>
    <n v="89"/>
    <s v="#Evrevolution"/>
    <m/>
    <m/>
    <x v="0"/>
  </r>
  <r>
    <n v="4236"/>
    <n v="711"/>
    <n v="298"/>
    <n v="21180"/>
    <n v="20516"/>
    <n v="238"/>
    <s v="#Futureofdriving"/>
    <m/>
    <m/>
    <x v="2"/>
  </r>
  <r>
    <n v="3090"/>
    <n v="697"/>
    <n v="164"/>
    <n v="49440"/>
    <n v="48524"/>
    <n v="25"/>
    <s v="#Evrevolution"/>
    <s v="#Evrevolution"/>
    <s v="#Betterwithtesla"/>
    <x v="0"/>
  </r>
  <r>
    <n v="736"/>
    <n v="771"/>
    <n v="225"/>
    <n v="5152"/>
    <n v="4706"/>
    <n v="19"/>
    <s v="#Evrevolution"/>
    <m/>
    <m/>
    <x v="2"/>
  </r>
  <r>
    <n v="3592"/>
    <n v="911"/>
    <n v="375"/>
    <n v="50288"/>
    <n v="49490"/>
    <n v="32"/>
    <s v="#Futureofdriving"/>
    <m/>
    <m/>
    <x v="4"/>
  </r>
  <r>
    <n v="2072"/>
    <n v="532"/>
    <n v="71"/>
    <n v="37296"/>
    <n v="36467"/>
    <n v="25"/>
    <s v="#Teslacoinnovation"/>
    <m/>
    <m/>
    <x v="4"/>
  </r>
  <r>
    <n v="3024"/>
    <n v="925"/>
    <n v="350"/>
    <n v="24192"/>
    <n v="23518"/>
    <n v="36"/>
    <s v="#Evrevolution"/>
    <m/>
    <m/>
    <x v="0"/>
  </r>
  <r>
    <n v="1330"/>
    <n v="925"/>
    <n v="35"/>
    <n v="15960"/>
    <n v="15379"/>
    <n v="229"/>
    <s v="#Futureofdriving"/>
    <m/>
    <m/>
    <x v="3"/>
  </r>
  <r>
    <n v="4561"/>
    <n v="51"/>
    <n v="441"/>
    <n v="22805"/>
    <n v="21890"/>
    <n v="45"/>
    <s v="#Teslacoinnovation"/>
    <m/>
    <m/>
    <x v="0"/>
  </r>
  <r>
    <n v="1957"/>
    <n v="877"/>
    <n v="238"/>
    <n v="17613"/>
    <n v="16865"/>
    <n v="297"/>
    <s v="#Futureofdriving"/>
    <m/>
    <m/>
    <x v="3"/>
  </r>
  <r>
    <n v="4886"/>
    <n v="983"/>
    <n v="409"/>
    <n v="43974"/>
    <n v="43239"/>
    <n v="65"/>
    <s v="#Teslacoinnovation"/>
    <m/>
    <m/>
    <x v="2"/>
  </r>
  <r>
    <n v="3601"/>
    <n v="695"/>
    <n v="75"/>
    <n v="21606"/>
    <n v="21454"/>
    <n v="172"/>
    <s v="#Evrevolution"/>
    <m/>
    <m/>
    <x v="0"/>
  </r>
  <r>
    <n v="1741"/>
    <n v="831"/>
    <n v="345"/>
    <n v="17410"/>
    <n v="16844"/>
    <n v="58"/>
    <s v="#Evrevolution"/>
    <m/>
    <m/>
    <x v="3"/>
  </r>
  <r>
    <n v="3065"/>
    <n v="772"/>
    <n v="142"/>
    <n v="18390"/>
    <n v="17875"/>
    <n v="200"/>
    <s v="#Evrevolution"/>
    <s v="#Anytimeisteslatime"/>
    <m/>
    <x v="1"/>
  </r>
  <r>
    <n v="4441"/>
    <n v="511"/>
    <n v="70"/>
    <n v="53292"/>
    <n v="53082"/>
    <n v="159"/>
    <s v="#Evrevolution"/>
    <m/>
    <m/>
    <x v="4"/>
  </r>
  <r>
    <n v="3009"/>
    <n v="413"/>
    <n v="358"/>
    <n v="42126"/>
    <n v="41309"/>
    <n v="211"/>
    <s v="#Futureofdriving"/>
    <m/>
    <m/>
    <x v="0"/>
  </r>
  <r>
    <n v="1543"/>
    <n v="820"/>
    <n v="333"/>
    <n v="12344"/>
    <n v="11496"/>
    <n v="241"/>
    <s v="#Evrevolution"/>
    <m/>
    <m/>
    <x v="1"/>
  </r>
  <r>
    <n v="4551"/>
    <n v="714"/>
    <n v="207"/>
    <n v="68265"/>
    <n v="67754"/>
    <n v="57"/>
    <s v="#Futureofdriving"/>
    <m/>
    <m/>
    <x v="3"/>
  </r>
  <r>
    <n v="1606"/>
    <n v="451"/>
    <n v="405"/>
    <n v="20878"/>
    <n v="20190"/>
    <n v="219"/>
    <s v="#Evrevolution"/>
    <m/>
    <m/>
    <x v="4"/>
  </r>
  <r>
    <n v="4187"/>
    <n v="66"/>
    <n v="31"/>
    <n v="66992"/>
    <n v="66614"/>
    <n v="62"/>
    <s v="#Futureofdriving"/>
    <m/>
    <m/>
    <x v="1"/>
  </r>
  <r>
    <n v="1963"/>
    <n v="213"/>
    <n v="19"/>
    <n v="39260"/>
    <n v="38771"/>
    <n v="145"/>
    <s v="#Futureofdriving"/>
    <m/>
    <m/>
    <x v="1"/>
  </r>
  <r>
    <n v="1947"/>
    <n v="842"/>
    <n v="101"/>
    <n v="21417"/>
    <n v="20967"/>
    <n v="186"/>
    <s v="#Futureofdriving"/>
    <m/>
    <m/>
    <x v="0"/>
  </r>
  <r>
    <n v="432"/>
    <n v="624"/>
    <n v="123"/>
    <n v="6912"/>
    <n v="6259"/>
    <n v="79"/>
    <s v="#Futureofdriving"/>
    <m/>
    <m/>
    <x v="4"/>
  </r>
  <r>
    <n v="1249"/>
    <n v="116"/>
    <n v="420"/>
    <n v="8743"/>
    <n v="8538"/>
    <n v="63"/>
    <s v="#Teslacoinnovation"/>
    <m/>
    <m/>
    <x v="1"/>
  </r>
  <r>
    <n v="4619"/>
    <n v="821"/>
    <n v="499"/>
    <n v="69285"/>
    <n v="69141"/>
    <n v="298"/>
    <s v="#Teslacoinnovation"/>
    <m/>
    <m/>
    <x v="4"/>
  </r>
  <r>
    <n v="4838"/>
    <n v="640"/>
    <n v="128"/>
    <n v="72570"/>
    <n v="72396"/>
    <n v="83"/>
    <s v="#Futureofdriving"/>
    <m/>
    <m/>
    <x v="4"/>
  </r>
  <r>
    <n v="3809"/>
    <n v="273"/>
    <n v="200"/>
    <n v="34281"/>
    <n v="33534"/>
    <n v="83"/>
    <s v="#Evrevolution"/>
    <m/>
    <m/>
    <x v="2"/>
  </r>
  <r>
    <n v="4285"/>
    <n v="886"/>
    <n v="376"/>
    <n v="55705"/>
    <n v="55556"/>
    <n v="51"/>
    <s v="#Futureofdriving"/>
    <m/>
    <m/>
    <x v="3"/>
  </r>
  <r>
    <n v="3711"/>
    <n v="352"/>
    <n v="290"/>
    <n v="48243"/>
    <n v="47579"/>
    <n v="11"/>
    <s v="#Teslacoinnovation"/>
    <m/>
    <m/>
    <x v="2"/>
  </r>
  <r>
    <n v="4606"/>
    <n v="931"/>
    <n v="230"/>
    <n v="92120"/>
    <n v="91440"/>
    <n v="56"/>
    <s v="#Teslacoinnovation"/>
    <m/>
    <m/>
    <x v="1"/>
  </r>
  <r>
    <n v="1488"/>
    <n v="417"/>
    <n v="168"/>
    <n v="19344"/>
    <n v="18395"/>
    <n v="30"/>
    <s v="#Futureofdriving"/>
    <m/>
    <m/>
    <x v="3"/>
  </r>
  <r>
    <n v="3791"/>
    <n v="593"/>
    <n v="228"/>
    <n v="53074"/>
    <n v="52613"/>
    <n v="205"/>
    <s v="#Evrevolution"/>
    <m/>
    <m/>
    <x v="1"/>
  </r>
  <r>
    <n v="4799"/>
    <n v="694"/>
    <n v="289"/>
    <n v="43191"/>
    <n v="42228"/>
    <n v="118"/>
    <s v="#Teslacoinnovation"/>
    <m/>
    <m/>
    <x v="1"/>
  </r>
  <r>
    <n v="2754"/>
    <n v="130"/>
    <n v="90"/>
    <n v="22032"/>
    <n v="21288"/>
    <n v="112"/>
    <s v="#Teslacoinnovation"/>
    <m/>
    <m/>
    <x v="3"/>
  </r>
  <r>
    <n v="3861"/>
    <n v="960"/>
    <n v="101"/>
    <n v="69498"/>
    <n v="68817"/>
    <n v="297"/>
    <s v="#Teslacoinnovation"/>
    <m/>
    <m/>
    <x v="4"/>
  </r>
  <r>
    <n v="4054"/>
    <n v="389"/>
    <n v="493"/>
    <n v="64864"/>
    <n v="64383"/>
    <n v="117"/>
    <s v="#Teslacoinnovation"/>
    <s v="#Betterwithtesla"/>
    <m/>
    <x v="0"/>
  </r>
  <r>
    <n v="3767"/>
    <n v="514"/>
    <n v="238"/>
    <n v="37670"/>
    <n v="36807"/>
    <n v="226"/>
    <s v="#Futureofdriving"/>
    <m/>
    <m/>
    <x v="4"/>
  </r>
  <r>
    <n v="3874"/>
    <n v="884"/>
    <n v="19"/>
    <n v="38740"/>
    <n v="38552"/>
    <n v="219"/>
    <s v="#Teslacoinnovation"/>
    <m/>
    <m/>
    <x v="0"/>
  </r>
  <r>
    <n v="296"/>
    <n v="60"/>
    <n v="141"/>
    <n v="5624"/>
    <n v="5239"/>
    <n v="88"/>
    <s v="#Evrevolution"/>
    <m/>
    <m/>
    <x v="0"/>
  </r>
  <r>
    <n v="947"/>
    <n v="338"/>
    <n v="350"/>
    <n v="10417"/>
    <n v="9730"/>
    <n v="34"/>
    <s v="#Teslacoinnovation"/>
    <m/>
    <m/>
    <x v="4"/>
  </r>
  <r>
    <n v="3432"/>
    <n v="869"/>
    <n v="123"/>
    <n v="54912"/>
    <n v="53916"/>
    <n v="264"/>
    <s v="#Evrevolution"/>
    <m/>
    <m/>
    <x v="0"/>
  </r>
  <r>
    <n v="80"/>
    <n v="362"/>
    <n v="80"/>
    <n v="1040"/>
    <n v="349"/>
    <n v="117"/>
    <s v="#Teslacoinnovation"/>
    <m/>
    <m/>
    <x v="3"/>
  </r>
  <r>
    <n v="4419"/>
    <n v="236"/>
    <n v="369"/>
    <n v="44190"/>
    <n v="43582"/>
    <n v="10"/>
    <s v="#Evrevolution"/>
    <m/>
    <m/>
    <x v="2"/>
  </r>
  <r>
    <n v="4350"/>
    <n v="771"/>
    <n v="7"/>
    <n v="60900"/>
    <n v="60592"/>
    <n v="195"/>
    <s v="#Evrevolution"/>
    <m/>
    <m/>
    <x v="2"/>
  </r>
  <r>
    <n v="4905"/>
    <n v="845"/>
    <n v="129"/>
    <n v="98100"/>
    <n v="97772"/>
    <n v="279"/>
    <s v="#Teslacoinnovation"/>
    <m/>
    <m/>
    <x v="0"/>
  </r>
  <r>
    <n v="2551"/>
    <n v="915"/>
    <n v="205"/>
    <n v="30612"/>
    <n v="30360"/>
    <n v="227"/>
    <s v="#Teslacoinnovation"/>
    <m/>
    <m/>
    <x v="0"/>
  </r>
  <r>
    <n v="4171"/>
    <n v="548"/>
    <n v="86"/>
    <n v="66736"/>
    <n v="66634"/>
    <n v="173"/>
    <s v="#Futureofdriving"/>
    <m/>
    <m/>
    <x v="3"/>
  </r>
  <r>
    <n v="1871"/>
    <n v="252"/>
    <n v="335"/>
    <n v="29936"/>
    <n v="29576"/>
    <n v="288"/>
    <s v="#Evrevolution"/>
    <m/>
    <m/>
    <x v="3"/>
  </r>
  <r>
    <n v="84"/>
    <n v="897"/>
    <n v="85"/>
    <n v="588"/>
    <n v="8"/>
    <n v="12"/>
    <s v="#Evrevolution"/>
    <m/>
    <m/>
    <x v="1"/>
  </r>
  <r>
    <n v="1108"/>
    <n v="177"/>
    <n v="212"/>
    <n v="8864"/>
    <n v="8710"/>
    <n v="97"/>
    <s v="#Teslacoinnovation"/>
    <m/>
    <m/>
    <x v="4"/>
  </r>
  <r>
    <n v="199"/>
    <n v="772"/>
    <n v="400"/>
    <n v="3582"/>
    <n v="2988"/>
    <n v="43"/>
    <s v="#Teslacoinnovation"/>
    <m/>
    <m/>
    <x v="1"/>
  </r>
  <r>
    <n v="2358"/>
    <n v="784"/>
    <n v="344"/>
    <n v="35370"/>
    <n v="34475"/>
    <n v="216"/>
    <s v="#Teslacoinnovation"/>
    <m/>
    <m/>
    <x v="1"/>
  </r>
  <r>
    <n v="886"/>
    <n v="126"/>
    <n v="153"/>
    <n v="4430"/>
    <n v="4037"/>
    <n v="212"/>
    <s v="#Evrevolution"/>
    <m/>
    <m/>
    <x v="1"/>
  </r>
  <r>
    <n v="1792"/>
    <n v="614"/>
    <n v="497"/>
    <n v="25088"/>
    <n v="24675"/>
    <n v="65"/>
    <s v="#Futureofdriving"/>
    <m/>
    <m/>
    <x v="4"/>
  </r>
  <r>
    <n v="3371"/>
    <n v="106"/>
    <n v="327"/>
    <n v="50565"/>
    <n v="49816"/>
    <n v="176"/>
    <s v="#Futureofdriving"/>
    <m/>
    <m/>
    <x v="2"/>
  </r>
  <r>
    <n v="1674"/>
    <n v="929"/>
    <n v="37"/>
    <n v="21762"/>
    <n v="20998"/>
    <n v="255"/>
    <s v="#Teslacoinnovation"/>
    <m/>
    <m/>
    <x v="4"/>
  </r>
  <r>
    <n v="4808"/>
    <n v="772"/>
    <n v="320"/>
    <n v="72120"/>
    <n v="71696"/>
    <n v="195"/>
    <s v="#Evrevolution"/>
    <m/>
    <m/>
    <x v="2"/>
  </r>
  <r>
    <n v="1272"/>
    <n v="465"/>
    <n v="99"/>
    <n v="24168"/>
    <n v="23719"/>
    <n v="42"/>
    <s v="#Teslacoinnovation"/>
    <m/>
    <m/>
    <x v="1"/>
  </r>
  <r>
    <n v="1430"/>
    <n v="376"/>
    <n v="33"/>
    <n v="21450"/>
    <n v="20509"/>
    <n v="251"/>
    <s v="#Futureofdriving"/>
    <m/>
    <m/>
    <x v="2"/>
  </r>
  <r>
    <n v="2696"/>
    <n v="628"/>
    <n v="443"/>
    <n v="45832"/>
    <n v="45632"/>
    <n v="248"/>
    <s v="#Evrevolution"/>
    <m/>
    <m/>
    <x v="4"/>
  </r>
  <r>
    <n v="3430"/>
    <n v="566"/>
    <n v="164"/>
    <n v="48020"/>
    <n v="47305"/>
    <n v="120"/>
    <s v="#Futureofdriving"/>
    <m/>
    <m/>
    <x v="1"/>
  </r>
  <r>
    <n v="754"/>
    <n v="197"/>
    <n v="257"/>
    <n v="6786"/>
    <n v="6221"/>
    <n v="212"/>
    <s v="#Teslacoinnovation"/>
    <m/>
    <m/>
    <x v="3"/>
  </r>
  <r>
    <n v="2234"/>
    <n v="653"/>
    <n v="432"/>
    <n v="11170"/>
    <n v="10569"/>
    <n v="198"/>
    <s v="#Futureofdriving"/>
    <m/>
    <m/>
    <x v="3"/>
  </r>
  <r>
    <n v="3535"/>
    <n v="494"/>
    <n v="152"/>
    <n v="53025"/>
    <n v="52791"/>
    <n v="44"/>
    <s v="#Teslacoinnovation"/>
    <m/>
    <m/>
    <x v="4"/>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
  <r>
    <x v="0"/>
    <x v="0"/>
    <n v="1312"/>
    <n v="310"/>
    <n v="42654"/>
    <n v="4.9800000000000004"/>
    <n v="9566"/>
    <n v="-8254"/>
  </r>
  <r>
    <x v="1"/>
    <x v="0"/>
    <n v="1697"/>
    <n v="414"/>
    <n v="316555"/>
    <n v="2.37"/>
    <n v="7924"/>
    <n v="-6227"/>
  </r>
  <r>
    <x v="2"/>
    <x v="0"/>
    <n v="1753"/>
    <n v="371"/>
    <n v="169496"/>
    <n v="8.11"/>
    <n v="46670"/>
    <n v="-44917"/>
  </r>
  <r>
    <x v="3"/>
    <x v="0"/>
    <n v="1779"/>
    <n v="109"/>
    <n v="26295"/>
    <n v="9.1199999999999992"/>
    <n v="30635"/>
    <n v="-28856"/>
  </r>
  <r>
    <x v="4"/>
    <x v="0"/>
    <n v="505"/>
    <n v="441"/>
    <n v="220020"/>
    <n v="4.4800000000000004"/>
    <n v="42307"/>
    <n v="-41802"/>
  </r>
  <r>
    <x v="5"/>
    <x v="0"/>
    <n v="350"/>
    <n v="41"/>
    <n v="251694"/>
    <n v="1.91"/>
    <n v="38610"/>
    <n v="-38260"/>
  </r>
  <r>
    <x v="6"/>
    <x v="0"/>
    <n v="170"/>
    <n v="334"/>
    <n v="334626"/>
    <n v="6.44"/>
    <n v="43420"/>
    <n v="-43250"/>
  </r>
  <r>
    <x v="7"/>
    <x v="0"/>
    <n v="1391"/>
    <n v="430"/>
    <n v="295032"/>
    <n v="7.86"/>
    <n v="26067"/>
    <n v="-24676"/>
  </r>
  <r>
    <x v="8"/>
    <x v="0"/>
    <n v="160"/>
    <n v="478"/>
    <n v="435034"/>
    <n v="7.73"/>
    <n v="4839"/>
    <n v="-4679"/>
  </r>
  <r>
    <x v="9"/>
    <x v="0"/>
    <n v="214"/>
    <n v="411"/>
    <n v="125034"/>
    <n v="6.11"/>
    <n v="26455"/>
    <n v="-26241"/>
  </r>
  <r>
    <x v="10"/>
    <x v="0"/>
    <n v="1534"/>
    <n v="200"/>
    <n v="307612"/>
    <n v="6.01"/>
    <n v="37903"/>
    <n v="-36369"/>
  </r>
  <r>
    <x v="11"/>
    <x v="0"/>
    <n v="1078"/>
    <n v="20"/>
    <n v="183924"/>
    <n v="8.84"/>
    <n v="14203"/>
    <n v="-13125"/>
  </r>
  <r>
    <x v="12"/>
    <x v="0"/>
    <n v="248"/>
    <n v="211"/>
    <n v="379380"/>
    <n v="9.0399999999999991"/>
    <n v="26925"/>
    <n v="-26677"/>
  </r>
  <r>
    <x v="13"/>
    <x v="0"/>
    <n v="1520"/>
    <n v="475"/>
    <n v="496982"/>
    <n v="6.41"/>
    <n v="24384"/>
    <n v="-22864"/>
  </r>
  <r>
    <x v="14"/>
    <x v="0"/>
    <n v="1842"/>
    <n v="414"/>
    <n v="307524"/>
    <n v="1.76"/>
    <n v="40478"/>
    <n v="-38636"/>
  </r>
  <r>
    <x v="15"/>
    <x v="0"/>
    <n v="443"/>
    <n v="345"/>
    <n v="474162"/>
    <n v="9.1999999999999993"/>
    <n v="47462"/>
    <n v="-47019"/>
  </r>
  <r>
    <x v="16"/>
    <x v="0"/>
    <n v="198"/>
    <n v="217"/>
    <n v="239753"/>
    <n v="7.36"/>
    <n v="11901"/>
    <n v="-11703"/>
  </r>
  <r>
    <x v="17"/>
    <x v="0"/>
    <n v="250"/>
    <n v="429"/>
    <n v="453423"/>
    <n v="1.77"/>
    <n v="2315"/>
    <n v="-2065"/>
  </r>
  <r>
    <x v="18"/>
    <x v="0"/>
    <n v="1929"/>
    <n v="267"/>
    <n v="379363"/>
    <n v="1.75"/>
    <n v="43836"/>
    <n v="-41907"/>
  </r>
  <r>
    <x v="19"/>
    <x v="0"/>
    <n v="643"/>
    <n v="358"/>
    <n v="157599"/>
    <n v="3.88"/>
    <n v="7285"/>
    <n v="-6642"/>
  </r>
  <r>
    <x v="20"/>
    <x v="0"/>
    <n v="508"/>
    <n v="69"/>
    <n v="23492"/>
    <n v="3.16"/>
    <n v="42824"/>
    <n v="-42316"/>
  </r>
  <r>
    <x v="21"/>
    <x v="0"/>
    <n v="859"/>
    <n v="473"/>
    <n v="209987"/>
    <n v="4.46"/>
    <n v="30214"/>
    <n v="-29355"/>
  </r>
  <r>
    <x v="22"/>
    <x v="0"/>
    <n v="947"/>
    <n v="407"/>
    <n v="319186"/>
    <n v="3.32"/>
    <n v="4996"/>
    <n v="-4049"/>
  </r>
  <r>
    <x v="23"/>
    <x v="0"/>
    <n v="171"/>
    <n v="277"/>
    <n v="309483"/>
    <n v="8.6999999999999993"/>
    <n v="38452"/>
    <n v="-38281"/>
  </r>
  <r>
    <x v="24"/>
    <x v="0"/>
    <n v="513"/>
    <n v="441"/>
    <n v="338847"/>
    <n v="2.68"/>
    <n v="39997"/>
    <n v="-39484"/>
  </r>
  <r>
    <x v="25"/>
    <x v="0"/>
    <n v="1710"/>
    <n v="378"/>
    <n v="336661"/>
    <n v="6.2"/>
    <n v="28498"/>
    <n v="-26788"/>
  </r>
  <r>
    <x v="26"/>
    <x v="0"/>
    <n v="1902"/>
    <n v="196"/>
    <n v="470269"/>
    <n v="4.79"/>
    <n v="26103"/>
    <n v="-24201"/>
  </r>
  <r>
    <x v="27"/>
    <x v="0"/>
    <n v="1514"/>
    <n v="141"/>
    <n v="35842"/>
    <n v="7.47"/>
    <n v="18601"/>
    <n v="-17087"/>
  </r>
  <r>
    <x v="28"/>
    <x v="0"/>
    <n v="1623"/>
    <n v="246"/>
    <n v="415815"/>
    <n v="8.11"/>
    <n v="18656"/>
    <n v="-17033"/>
  </r>
  <r>
    <x v="29"/>
    <x v="0"/>
    <n v="1155"/>
    <n v="425"/>
    <n v="93347"/>
    <n v="2.02"/>
    <n v="47502"/>
    <n v="-46347"/>
  </r>
  <r>
    <x v="30"/>
    <x v="0"/>
    <n v="1980"/>
    <n v="204"/>
    <n v="379431"/>
    <n v="3.09"/>
    <n v="25140"/>
    <n v="-23160"/>
  </r>
  <r>
    <x v="31"/>
    <x v="0"/>
    <n v="816"/>
    <n v="196"/>
    <n v="95728"/>
    <n v="8.1999999999999993"/>
    <n v="17951"/>
    <n v="-17135"/>
  </r>
  <r>
    <x v="32"/>
    <x v="0"/>
    <n v="651"/>
    <n v="353"/>
    <n v="224699"/>
    <n v="5.61"/>
    <n v="45708"/>
    <n v="-45057"/>
  </r>
  <r>
    <x v="33"/>
    <x v="0"/>
    <n v="663"/>
    <n v="236"/>
    <n v="479490"/>
    <n v="4.51"/>
    <n v="23853"/>
    <n v="-23190"/>
  </r>
  <r>
    <x v="34"/>
    <x v="0"/>
    <n v="1249"/>
    <n v="351"/>
    <n v="321307"/>
    <n v="6.37"/>
    <n v="20560"/>
    <n v="-19311"/>
  </r>
  <r>
    <x v="35"/>
    <x v="0"/>
    <n v="1159"/>
    <n v="411"/>
    <n v="135987"/>
    <n v="8.6999999999999993"/>
    <n v="40323"/>
    <n v="-39164"/>
  </r>
  <r>
    <x v="36"/>
    <x v="0"/>
    <n v="1294"/>
    <n v="382"/>
    <n v="309914"/>
    <n v="8.0299999999999994"/>
    <n v="23489"/>
    <n v="-22195"/>
  </r>
  <r>
    <x v="37"/>
    <x v="0"/>
    <n v="1895"/>
    <n v="305"/>
    <n v="104967"/>
    <n v="3.85"/>
    <n v="31853"/>
    <n v="-29958"/>
  </r>
  <r>
    <x v="38"/>
    <x v="0"/>
    <n v="1884"/>
    <n v="177"/>
    <n v="230448"/>
    <n v="7.8"/>
    <n v="22713"/>
    <n v="-20829"/>
  </r>
  <r>
    <x v="39"/>
    <x v="0"/>
    <n v="345"/>
    <n v="464"/>
    <n v="366881"/>
    <n v="4.55"/>
    <n v="20553"/>
    <n v="-20208"/>
  </r>
  <r>
    <x v="40"/>
    <x v="0"/>
    <n v="1098"/>
    <n v="190"/>
    <n v="340842"/>
    <n v="9.39"/>
    <n v="21539"/>
    <n v="-20441"/>
  </r>
  <r>
    <x v="41"/>
    <x v="0"/>
    <n v="1358"/>
    <n v="242"/>
    <n v="342129"/>
    <n v="4.9400000000000004"/>
    <n v="29116"/>
    <n v="-27758"/>
  </r>
  <r>
    <x v="42"/>
    <x v="0"/>
    <n v="609"/>
    <n v="135"/>
    <n v="373606"/>
    <n v="8.52"/>
    <n v="21453"/>
    <n v="-20844"/>
  </r>
  <r>
    <x v="43"/>
    <x v="0"/>
    <n v="988"/>
    <n v="474"/>
    <n v="370070"/>
    <n v="9.4600000000000009"/>
    <n v="23461"/>
    <n v="-22473"/>
  </r>
  <r>
    <x v="44"/>
    <x v="0"/>
    <n v="1307"/>
    <n v="278"/>
    <n v="98596"/>
    <n v="2.4900000000000002"/>
    <n v="47603"/>
    <n v="-46296"/>
  </r>
  <r>
    <x v="45"/>
    <x v="0"/>
    <n v="198"/>
    <n v="373"/>
    <n v="70707"/>
    <n v="4.83"/>
    <n v="25920"/>
    <n v="-25722"/>
  </r>
  <r>
    <x v="46"/>
    <x v="0"/>
    <n v="1375"/>
    <n v="330"/>
    <n v="377382"/>
    <n v="2.6"/>
    <n v="7875"/>
    <n v="-6500"/>
  </r>
  <r>
    <x v="47"/>
    <x v="0"/>
    <n v="833"/>
    <n v="380"/>
    <n v="224830"/>
    <n v="3.86"/>
    <n v="3582"/>
    <n v="-2749"/>
  </r>
  <r>
    <x v="48"/>
    <x v="0"/>
    <n v="405"/>
    <n v="66"/>
    <n v="418696"/>
    <n v="5.59"/>
    <n v="48419"/>
    <n v="-48014"/>
  </r>
  <r>
    <x v="49"/>
    <x v="0"/>
    <n v="837"/>
    <n v="430"/>
    <n v="364820"/>
    <n v="4"/>
    <n v="49400"/>
    <n v="-48563"/>
  </r>
  <r>
    <x v="0"/>
    <x v="1"/>
    <n v="1135"/>
    <n v="88"/>
    <n v="344084"/>
    <n v="8.06"/>
    <n v="5904"/>
    <n v="-4769"/>
  </r>
  <r>
    <x v="1"/>
    <x v="1"/>
    <n v="656"/>
    <n v="139"/>
    <n v="49157"/>
    <n v="9.0500000000000007"/>
    <n v="9920"/>
    <n v="-9264"/>
  </r>
  <r>
    <x v="2"/>
    <x v="1"/>
    <n v="1048"/>
    <n v="155"/>
    <n v="456946"/>
    <n v="2.46"/>
    <n v="11329"/>
    <n v="-10281"/>
  </r>
  <r>
    <x v="3"/>
    <x v="1"/>
    <n v="911"/>
    <n v="282"/>
    <n v="35664"/>
    <n v="6.92"/>
    <n v="18050"/>
    <n v="-17139"/>
  </r>
  <r>
    <x v="4"/>
    <x v="1"/>
    <n v="226"/>
    <n v="445"/>
    <n v="419447"/>
    <n v="9.36"/>
    <n v="9566"/>
    <n v="-9340"/>
  </r>
  <r>
    <x v="5"/>
    <x v="1"/>
    <n v="1757"/>
    <n v="85"/>
    <n v="58223"/>
    <n v="8.74"/>
    <n v="22728"/>
    <n v="-20971"/>
  </r>
  <r>
    <x v="6"/>
    <x v="1"/>
    <n v="1960"/>
    <n v="115"/>
    <n v="154169"/>
    <n v="3.74"/>
    <n v="10740"/>
    <n v="-8780"/>
  </r>
  <r>
    <x v="7"/>
    <x v="1"/>
    <n v="508"/>
    <n v="349"/>
    <n v="473812"/>
    <n v="7.88"/>
    <n v="17328"/>
    <n v="-16820"/>
  </r>
  <r>
    <x v="8"/>
    <x v="1"/>
    <n v="653"/>
    <n v="112"/>
    <n v="23664"/>
    <n v="4.05"/>
    <n v="15353"/>
    <n v="-14700"/>
  </r>
  <r>
    <x v="9"/>
    <x v="1"/>
    <n v="645"/>
    <n v="293"/>
    <n v="437968"/>
    <n v="7.83"/>
    <n v="49303"/>
    <n v="-48658"/>
  </r>
  <r>
    <x v="10"/>
    <x v="1"/>
    <n v="1528"/>
    <n v="203"/>
    <n v="489188"/>
    <n v="6.23"/>
    <n v="47101"/>
    <n v="-45573"/>
  </r>
  <r>
    <x v="11"/>
    <x v="1"/>
    <n v="215"/>
    <n v="139"/>
    <n v="325444"/>
    <n v="3.25"/>
    <n v="35501"/>
    <n v="-35286"/>
  </r>
  <r>
    <x v="12"/>
    <x v="1"/>
    <n v="1685"/>
    <n v="76"/>
    <n v="453799"/>
    <n v="5.71"/>
    <n v="24913"/>
    <n v="-23228"/>
  </r>
  <r>
    <x v="13"/>
    <x v="1"/>
    <n v="1429"/>
    <n v="182"/>
    <n v="101332"/>
    <n v="7.16"/>
    <n v="37829"/>
    <n v="-36400"/>
  </r>
  <r>
    <x v="14"/>
    <x v="1"/>
    <n v="1592"/>
    <n v="20"/>
    <n v="378054"/>
    <n v="9.09"/>
    <n v="26663"/>
    <n v="-25071"/>
  </r>
  <r>
    <x v="15"/>
    <x v="1"/>
    <n v="778"/>
    <n v="401"/>
    <n v="50793"/>
    <n v="3.4"/>
    <n v="21939"/>
    <n v="-21161"/>
  </r>
  <r>
    <x v="16"/>
    <x v="1"/>
    <n v="817"/>
    <n v="151"/>
    <n v="422625"/>
    <n v="2.36"/>
    <n v="1083"/>
    <n v="-266"/>
  </r>
  <r>
    <x v="17"/>
    <x v="1"/>
    <n v="1433"/>
    <n v="408"/>
    <n v="370269"/>
    <n v="3.3"/>
    <n v="30575"/>
    <n v="-29142"/>
  </r>
  <r>
    <x v="18"/>
    <x v="1"/>
    <n v="1939"/>
    <n v="67"/>
    <n v="187183"/>
    <n v="6.25"/>
    <n v="41215"/>
    <n v="-39276"/>
  </r>
  <r>
    <x v="19"/>
    <x v="1"/>
    <n v="1527"/>
    <n v="303"/>
    <n v="388555"/>
    <n v="8.9"/>
    <n v="36397"/>
    <n v="-34870"/>
  </r>
  <r>
    <x v="20"/>
    <x v="1"/>
    <n v="703"/>
    <n v="441"/>
    <n v="357089"/>
    <n v="6.5"/>
    <n v="32478"/>
    <n v="-31775"/>
  </r>
  <r>
    <x v="21"/>
    <x v="1"/>
    <n v="642"/>
    <n v="66"/>
    <n v="346522"/>
    <n v="5.85"/>
    <n v="13116"/>
    <n v="-12474"/>
  </r>
  <r>
    <x v="22"/>
    <x v="1"/>
    <n v="1466"/>
    <n v="69"/>
    <n v="54935"/>
    <n v="6.85"/>
    <n v="36484"/>
    <n v="-35018"/>
  </r>
  <r>
    <x v="23"/>
    <x v="1"/>
    <n v="1075"/>
    <n v="173"/>
    <n v="51395"/>
    <n v="4.66"/>
    <n v="47812"/>
    <n v="-46737"/>
  </r>
  <r>
    <x v="24"/>
    <x v="1"/>
    <n v="187"/>
    <n v="236"/>
    <n v="51087"/>
    <n v="9.41"/>
    <n v="29533"/>
    <n v="-29346"/>
  </r>
  <r>
    <x v="25"/>
    <x v="1"/>
    <n v="1854"/>
    <n v="161"/>
    <n v="282466"/>
    <n v="5.17"/>
    <n v="1810"/>
    <n v="44"/>
  </r>
  <r>
    <x v="26"/>
    <x v="1"/>
    <n v="1696"/>
    <n v="71"/>
    <n v="421957"/>
    <n v="3.79"/>
    <n v="36103"/>
    <n v="-34407"/>
  </r>
  <r>
    <x v="27"/>
    <x v="1"/>
    <n v="1494"/>
    <n v="375"/>
    <n v="220616"/>
    <n v="1.81"/>
    <n v="22724"/>
    <n v="-21230"/>
  </r>
  <r>
    <x v="28"/>
    <x v="1"/>
    <n v="1502"/>
    <n v="70"/>
    <n v="465553"/>
    <n v="3.32"/>
    <n v="20692"/>
    <n v="-19190"/>
  </r>
  <r>
    <x v="29"/>
    <x v="1"/>
    <n v="1092"/>
    <n v="408"/>
    <n v="280795"/>
    <n v="8.44"/>
    <n v="4683"/>
    <n v="-3591"/>
  </r>
  <r>
    <x v="30"/>
    <x v="1"/>
    <n v="1814"/>
    <n v="49"/>
    <n v="140804"/>
    <n v="1.76"/>
    <n v="4313"/>
    <n v="-2499"/>
  </r>
  <r>
    <x v="31"/>
    <x v="1"/>
    <n v="1013"/>
    <n v="110"/>
    <n v="466382"/>
    <n v="5.3"/>
    <n v="37132"/>
    <n v="-36119"/>
  </r>
  <r>
    <x v="32"/>
    <x v="1"/>
    <n v="1855"/>
    <n v="133"/>
    <n v="349413"/>
    <n v="3.3"/>
    <n v="14548"/>
    <n v="-12693"/>
  </r>
  <r>
    <x v="33"/>
    <x v="1"/>
    <n v="1748"/>
    <n v="176"/>
    <n v="383681"/>
    <n v="9.24"/>
    <n v="43122"/>
    <n v="-41374"/>
  </r>
  <r>
    <x v="34"/>
    <x v="1"/>
    <n v="115"/>
    <n v="281"/>
    <n v="357265"/>
    <n v="9.23"/>
    <n v="25525"/>
    <n v="-25410"/>
  </r>
  <r>
    <x v="35"/>
    <x v="1"/>
    <n v="1556"/>
    <n v="476"/>
    <n v="351556"/>
    <n v="3.89"/>
    <n v="10825"/>
    <n v="-9269"/>
  </r>
  <r>
    <x v="36"/>
    <x v="1"/>
    <n v="1957"/>
    <n v="234"/>
    <n v="222126"/>
    <n v="4.6100000000000003"/>
    <n v="3314"/>
    <n v="-1357"/>
  </r>
  <r>
    <x v="37"/>
    <x v="1"/>
    <n v="1138"/>
    <n v="173"/>
    <n v="453243"/>
    <n v="2.86"/>
    <n v="44097"/>
    <n v="-42959"/>
  </r>
  <r>
    <x v="38"/>
    <x v="1"/>
    <n v="1440"/>
    <n v="65"/>
    <n v="126524"/>
    <n v="4.34"/>
    <n v="49772"/>
    <n v="-48332"/>
  </r>
  <r>
    <x v="39"/>
    <x v="1"/>
    <n v="1371"/>
    <n v="56"/>
    <n v="257579"/>
    <n v="8.6199999999999992"/>
    <n v="33799"/>
    <n v="-32428"/>
  </r>
  <r>
    <x v="40"/>
    <x v="1"/>
    <n v="393"/>
    <n v="181"/>
    <n v="462142"/>
    <n v="7.23"/>
    <n v="6296"/>
    <n v="-5903"/>
  </r>
  <r>
    <x v="41"/>
    <x v="1"/>
    <n v="1102"/>
    <n v="422"/>
    <n v="410330"/>
    <n v="7.74"/>
    <n v="9480"/>
    <n v="-8378"/>
  </r>
  <r>
    <x v="42"/>
    <x v="1"/>
    <n v="490"/>
    <n v="29"/>
    <n v="364810"/>
    <n v="1.53"/>
    <n v="49077"/>
    <n v="-48587"/>
  </r>
  <r>
    <x v="43"/>
    <x v="1"/>
    <n v="1033"/>
    <n v="392"/>
    <n v="282780"/>
    <n v="6.27"/>
    <n v="23140"/>
    <n v="-22107"/>
  </r>
  <r>
    <x v="44"/>
    <x v="1"/>
    <n v="559"/>
    <n v="392"/>
    <n v="78789"/>
    <n v="3.19"/>
    <n v="2436"/>
    <n v="-1877"/>
  </r>
  <r>
    <x v="45"/>
    <x v="1"/>
    <n v="198"/>
    <n v="358"/>
    <n v="66682"/>
    <n v="6.73"/>
    <n v="2293"/>
    <n v="-2095"/>
  </r>
  <r>
    <x v="46"/>
    <x v="1"/>
    <n v="961"/>
    <n v="358"/>
    <n v="62942"/>
    <n v="6.8"/>
    <n v="18693"/>
    <n v="-17732"/>
  </r>
  <r>
    <x v="47"/>
    <x v="1"/>
    <n v="1693"/>
    <n v="154"/>
    <n v="445944"/>
    <n v="5.69"/>
    <n v="14216"/>
    <n v="-12523"/>
  </r>
  <r>
    <x v="48"/>
    <x v="1"/>
    <n v="1957"/>
    <n v="76"/>
    <n v="447902"/>
    <n v="6.09"/>
    <n v="33381"/>
    <n v="-31424"/>
  </r>
  <r>
    <x v="49"/>
    <x v="1"/>
    <n v="1765"/>
    <n v="109"/>
    <n v="468301"/>
    <n v="1.82"/>
    <n v="20042"/>
    <n v="-18277"/>
  </r>
  <r>
    <x v="0"/>
    <x v="2"/>
    <n v="584"/>
    <n v="169"/>
    <n v="146834"/>
    <n v="8.31"/>
    <n v="26752"/>
    <n v="-26168"/>
  </r>
  <r>
    <x v="1"/>
    <x v="2"/>
    <n v="436"/>
    <n v="250"/>
    <n v="254347"/>
    <n v="4.01"/>
    <n v="8912"/>
    <n v="-8476"/>
  </r>
  <r>
    <x v="2"/>
    <x v="2"/>
    <n v="1335"/>
    <n v="40"/>
    <n v="122732"/>
    <n v="8.19"/>
    <n v="22482"/>
    <n v="-21147"/>
  </r>
  <r>
    <x v="3"/>
    <x v="2"/>
    <n v="1238"/>
    <n v="403"/>
    <n v="298421"/>
    <n v="3.5"/>
    <n v="31280"/>
    <n v="-30042"/>
  </r>
  <r>
    <x v="4"/>
    <x v="2"/>
    <n v="1420"/>
    <n v="63"/>
    <n v="315305"/>
    <n v="6.19"/>
    <n v="5914"/>
    <n v="-4494"/>
  </r>
  <r>
    <x v="5"/>
    <x v="2"/>
    <n v="987"/>
    <n v="440"/>
    <n v="389810"/>
    <n v="4.66"/>
    <n v="2932"/>
    <n v="-1945"/>
  </r>
  <r>
    <x v="6"/>
    <x v="2"/>
    <n v="704"/>
    <n v="275"/>
    <n v="226002"/>
    <n v="8.56"/>
    <n v="32393"/>
    <n v="-31689"/>
  </r>
  <r>
    <x v="7"/>
    <x v="2"/>
    <n v="1701"/>
    <n v="385"/>
    <n v="198278"/>
    <n v="5.34"/>
    <n v="32763"/>
    <n v="-31062"/>
  </r>
  <r>
    <x v="8"/>
    <x v="2"/>
    <n v="1756"/>
    <n v="261"/>
    <n v="287574"/>
    <n v="4.3600000000000003"/>
    <n v="39272"/>
    <n v="-37516"/>
  </r>
  <r>
    <x v="9"/>
    <x v="2"/>
    <n v="826"/>
    <n v="498"/>
    <n v="449994"/>
    <n v="9.43"/>
    <n v="12384"/>
    <n v="-11558"/>
  </r>
  <r>
    <x v="10"/>
    <x v="2"/>
    <n v="485"/>
    <n v="448"/>
    <n v="434883"/>
    <n v="8.5500000000000007"/>
    <n v="33258"/>
    <n v="-32773"/>
  </r>
  <r>
    <x v="11"/>
    <x v="2"/>
    <n v="1751"/>
    <n v="86"/>
    <n v="188655"/>
    <n v="7.24"/>
    <n v="22206"/>
    <n v="-20455"/>
  </r>
  <r>
    <x v="12"/>
    <x v="2"/>
    <n v="1300"/>
    <n v="71"/>
    <n v="186454"/>
    <n v="3.91"/>
    <n v="9942"/>
    <n v="-8642"/>
  </r>
  <r>
    <x v="13"/>
    <x v="2"/>
    <n v="557"/>
    <n v="360"/>
    <n v="318779"/>
    <n v="8.02"/>
    <n v="25797"/>
    <n v="-25240"/>
  </r>
  <r>
    <x v="14"/>
    <x v="2"/>
    <n v="751"/>
    <n v="491"/>
    <n v="434047"/>
    <n v="9.24"/>
    <n v="15476"/>
    <n v="-14725"/>
  </r>
  <r>
    <x v="15"/>
    <x v="2"/>
    <n v="1472"/>
    <n v="347"/>
    <n v="392355"/>
    <n v="8.59"/>
    <n v="30270"/>
    <n v="-28798"/>
  </r>
  <r>
    <x v="16"/>
    <x v="2"/>
    <n v="1911"/>
    <n v="231"/>
    <n v="268516"/>
    <n v="8.5500000000000007"/>
    <n v="24018"/>
    <n v="-22107"/>
  </r>
  <r>
    <x v="17"/>
    <x v="2"/>
    <n v="752"/>
    <n v="153"/>
    <n v="64906"/>
    <n v="2.09"/>
    <n v="12148"/>
    <n v="-11396"/>
  </r>
  <r>
    <x v="18"/>
    <x v="2"/>
    <n v="437"/>
    <n v="330"/>
    <n v="476486"/>
    <n v="4.97"/>
    <n v="4509"/>
    <n v="-4072"/>
  </r>
  <r>
    <x v="19"/>
    <x v="2"/>
    <n v="201"/>
    <n v="221"/>
    <n v="309772"/>
    <n v="5.9"/>
    <n v="33174"/>
    <n v="-32973"/>
  </r>
  <r>
    <x v="20"/>
    <x v="2"/>
    <n v="697"/>
    <n v="61"/>
    <n v="258287"/>
    <n v="8.25"/>
    <n v="21208"/>
    <n v="-20511"/>
  </r>
  <r>
    <x v="21"/>
    <x v="2"/>
    <n v="191"/>
    <n v="154"/>
    <n v="240550"/>
    <n v="5.22"/>
    <n v="15827"/>
    <n v="-15636"/>
  </r>
  <r>
    <x v="22"/>
    <x v="2"/>
    <n v="1821"/>
    <n v="218"/>
    <n v="439080"/>
    <n v="5.68"/>
    <n v="36095"/>
    <n v="-34274"/>
  </r>
  <r>
    <x v="23"/>
    <x v="2"/>
    <n v="1487"/>
    <n v="337"/>
    <n v="87305"/>
    <n v="2.46"/>
    <n v="30428"/>
    <n v="-28941"/>
  </r>
  <r>
    <x v="24"/>
    <x v="2"/>
    <n v="628"/>
    <n v="183"/>
    <n v="487523"/>
    <n v="7.32"/>
    <n v="5391"/>
    <n v="-4763"/>
  </r>
  <r>
    <x v="25"/>
    <x v="2"/>
    <n v="330"/>
    <n v="232"/>
    <n v="88455"/>
    <n v="2.69"/>
    <n v="39530"/>
    <n v="-39200"/>
  </r>
  <r>
    <x v="26"/>
    <x v="2"/>
    <n v="1441"/>
    <n v="268"/>
    <n v="309904"/>
    <n v="6.37"/>
    <n v="3455"/>
    <n v="-2014"/>
  </r>
  <r>
    <x v="27"/>
    <x v="2"/>
    <n v="1937"/>
    <n v="210"/>
    <n v="20607"/>
    <n v="4.2"/>
    <n v="20861"/>
    <n v="-18924"/>
  </r>
  <r>
    <x v="28"/>
    <x v="2"/>
    <n v="1592"/>
    <n v="233"/>
    <n v="327183"/>
    <n v="6.66"/>
    <n v="13316"/>
    <n v="-11724"/>
  </r>
  <r>
    <x v="29"/>
    <x v="2"/>
    <n v="1137"/>
    <n v="226"/>
    <n v="81119"/>
    <n v="7.74"/>
    <n v="35359"/>
    <n v="-34222"/>
  </r>
  <r>
    <x v="30"/>
    <x v="2"/>
    <n v="1786"/>
    <n v="257"/>
    <n v="274831"/>
    <n v="4.68"/>
    <n v="9118"/>
    <n v="-7332"/>
  </r>
  <r>
    <x v="31"/>
    <x v="2"/>
    <n v="1633"/>
    <n v="445"/>
    <n v="371156"/>
    <n v="2.2200000000000002"/>
    <n v="2798"/>
    <n v="-1165"/>
  </r>
  <r>
    <x v="32"/>
    <x v="2"/>
    <n v="118"/>
    <n v="262"/>
    <n v="487896"/>
    <n v="2.56"/>
    <n v="12350"/>
    <n v="-12232"/>
  </r>
  <r>
    <x v="33"/>
    <x v="2"/>
    <n v="1040"/>
    <n v="149"/>
    <n v="124404"/>
    <n v="5.23"/>
    <n v="45380"/>
    <n v="-44340"/>
  </r>
  <r>
    <x v="34"/>
    <x v="2"/>
    <n v="1501"/>
    <n v="75"/>
    <n v="262569"/>
    <n v="2.0099999999999998"/>
    <n v="19119"/>
    <n v="-17618"/>
  </r>
  <r>
    <x v="35"/>
    <x v="2"/>
    <n v="927"/>
    <n v="358"/>
    <n v="177554"/>
    <n v="6.95"/>
    <n v="48270"/>
    <n v="-47343"/>
  </r>
  <r>
    <x v="36"/>
    <x v="2"/>
    <n v="1587"/>
    <n v="385"/>
    <n v="126582"/>
    <n v="6.99"/>
    <n v="42832"/>
    <n v="-41245"/>
  </r>
  <r>
    <x v="37"/>
    <x v="2"/>
    <n v="362"/>
    <n v="399"/>
    <n v="145608"/>
    <n v="7.3"/>
    <n v="37636"/>
    <n v="-37274"/>
  </r>
  <r>
    <x v="38"/>
    <x v="2"/>
    <n v="861"/>
    <n v="153"/>
    <n v="317007"/>
    <n v="3.85"/>
    <n v="8718"/>
    <n v="-7857"/>
  </r>
  <r>
    <x v="39"/>
    <x v="2"/>
    <n v="946"/>
    <n v="47"/>
    <n v="466575"/>
    <n v="8.33"/>
    <n v="10002"/>
    <n v="-9056"/>
  </r>
  <r>
    <x v="40"/>
    <x v="2"/>
    <n v="1399"/>
    <n v="49"/>
    <n v="12471"/>
    <n v="5.12"/>
    <n v="14722"/>
    <n v="-13323"/>
  </r>
  <r>
    <x v="41"/>
    <x v="2"/>
    <n v="1077"/>
    <n v="216"/>
    <n v="12447"/>
    <n v="1.8"/>
    <n v="14068"/>
    <n v="-12991"/>
  </r>
  <r>
    <x v="42"/>
    <x v="2"/>
    <n v="364"/>
    <n v="72"/>
    <n v="211090"/>
    <n v="5.53"/>
    <n v="21061"/>
    <n v="-20697"/>
  </r>
  <r>
    <x v="43"/>
    <x v="2"/>
    <n v="1946"/>
    <n v="270"/>
    <n v="198350"/>
    <n v="7.5"/>
    <n v="11805"/>
    <n v="-9859"/>
  </r>
  <r>
    <x v="44"/>
    <x v="2"/>
    <n v="1432"/>
    <n v="425"/>
    <n v="29589"/>
    <n v="4.5"/>
    <n v="42964"/>
    <n v="-41532"/>
  </r>
  <r>
    <x v="45"/>
    <x v="2"/>
    <n v="353"/>
    <n v="300"/>
    <n v="142507"/>
    <n v="5.3"/>
    <n v="11035"/>
    <n v="-10682"/>
  </r>
  <r>
    <x v="46"/>
    <x v="2"/>
    <n v="1147"/>
    <n v="388"/>
    <n v="333851"/>
    <n v="2.44"/>
    <n v="8471"/>
    <n v="-7324"/>
  </r>
  <r>
    <x v="47"/>
    <x v="2"/>
    <n v="1222"/>
    <n v="274"/>
    <n v="487289"/>
    <n v="3.16"/>
    <n v="32500"/>
    <n v="-31278"/>
  </r>
  <r>
    <x v="48"/>
    <x v="2"/>
    <n v="1581"/>
    <n v="71"/>
    <n v="484364"/>
    <n v="3.55"/>
    <n v="16149"/>
    <n v="-14568"/>
  </r>
  <r>
    <x v="49"/>
    <x v="2"/>
    <n v="337"/>
    <n v="68"/>
    <n v="456298"/>
    <n v="7.57"/>
    <n v="4007"/>
    <n v="-3670"/>
  </r>
  <r>
    <x v="0"/>
    <x v="3"/>
    <n v="1535"/>
    <n v="445"/>
    <n v="395536"/>
    <n v="4.1100000000000003"/>
    <n v="30671"/>
    <n v="-29136"/>
  </r>
  <r>
    <x v="1"/>
    <x v="3"/>
    <n v="1197"/>
    <n v="203"/>
    <n v="413878"/>
    <n v="3.16"/>
    <n v="21205"/>
    <n v="-20008"/>
  </r>
  <r>
    <x v="2"/>
    <x v="3"/>
    <n v="403"/>
    <n v="66"/>
    <n v="382851"/>
    <n v="3.49"/>
    <n v="24313"/>
    <n v="-23910"/>
  </r>
  <r>
    <x v="3"/>
    <x v="3"/>
    <n v="308"/>
    <n v="431"/>
    <n v="426184"/>
    <n v="2.62"/>
    <n v="1783"/>
    <n v="-1475"/>
  </r>
  <r>
    <x v="4"/>
    <x v="3"/>
    <n v="144"/>
    <n v="53"/>
    <n v="113678"/>
    <n v="8.7200000000000006"/>
    <n v="30060"/>
    <n v="-29916"/>
  </r>
  <r>
    <x v="5"/>
    <x v="3"/>
    <n v="883"/>
    <n v="369"/>
    <n v="233694"/>
    <n v="2.88"/>
    <n v="15071"/>
    <n v="-14188"/>
  </r>
  <r>
    <x v="6"/>
    <x v="3"/>
    <n v="224"/>
    <n v="64"/>
    <n v="156683"/>
    <n v="4.5599999999999996"/>
    <n v="28474"/>
    <n v="-28250"/>
  </r>
  <r>
    <x v="7"/>
    <x v="3"/>
    <n v="804"/>
    <n v="487"/>
    <n v="306564"/>
    <n v="5.52"/>
    <n v="26452"/>
    <n v="-25648"/>
  </r>
  <r>
    <x v="8"/>
    <x v="3"/>
    <n v="576"/>
    <n v="101"/>
    <n v="62499"/>
    <n v="3.48"/>
    <n v="16804"/>
    <n v="-16228"/>
  </r>
  <r>
    <x v="9"/>
    <x v="3"/>
    <n v="460"/>
    <n v="141"/>
    <n v="320650"/>
    <n v="4.04"/>
    <n v="49372"/>
    <n v="-48912"/>
  </r>
  <r>
    <x v="10"/>
    <x v="3"/>
    <n v="1210"/>
    <n v="178"/>
    <n v="102042"/>
    <n v="5.42"/>
    <n v="6915"/>
    <n v="-5705"/>
  </r>
  <r>
    <x v="11"/>
    <x v="3"/>
    <n v="221"/>
    <n v="31"/>
    <n v="87443"/>
    <n v="6.19"/>
    <n v="10283"/>
    <n v="-10062"/>
  </r>
  <r>
    <x v="12"/>
    <x v="3"/>
    <n v="422"/>
    <n v="394"/>
    <n v="239044"/>
    <n v="7.83"/>
    <n v="32929"/>
    <n v="-32507"/>
  </r>
  <r>
    <x v="13"/>
    <x v="3"/>
    <n v="728"/>
    <n v="395"/>
    <n v="370971"/>
    <n v="3.86"/>
    <n v="12646"/>
    <n v="-11918"/>
  </r>
  <r>
    <x v="14"/>
    <x v="3"/>
    <n v="1409"/>
    <n v="309"/>
    <n v="64583"/>
    <n v="8.99"/>
    <n v="10217"/>
    <n v="-8808"/>
  </r>
  <r>
    <x v="15"/>
    <x v="3"/>
    <n v="123"/>
    <n v="155"/>
    <n v="119934"/>
    <n v="3.5"/>
    <n v="5442"/>
    <n v="-5319"/>
  </r>
  <r>
    <x v="16"/>
    <x v="3"/>
    <n v="1218"/>
    <n v="212"/>
    <n v="63177"/>
    <n v="8.1300000000000008"/>
    <n v="38883"/>
    <n v="-37665"/>
  </r>
  <r>
    <x v="17"/>
    <x v="3"/>
    <n v="1918"/>
    <n v="212"/>
    <n v="94360"/>
    <n v="7.36"/>
    <n v="36851"/>
    <n v="-34933"/>
  </r>
  <r>
    <x v="18"/>
    <x v="3"/>
    <n v="307"/>
    <n v="189"/>
    <n v="117767"/>
    <n v="9.3000000000000007"/>
    <n v="27822"/>
    <n v="-27515"/>
  </r>
  <r>
    <x v="19"/>
    <x v="3"/>
    <n v="414"/>
    <n v="47"/>
    <n v="199178"/>
    <n v="1.53"/>
    <n v="6742"/>
    <n v="-6328"/>
  </r>
  <r>
    <x v="20"/>
    <x v="3"/>
    <n v="1707"/>
    <n v="223"/>
    <n v="256910"/>
    <n v="5.41"/>
    <n v="44321"/>
    <n v="-42614"/>
  </r>
  <r>
    <x v="21"/>
    <x v="3"/>
    <n v="1814"/>
    <n v="157"/>
    <n v="305827"/>
    <n v="1.99"/>
    <n v="46643"/>
    <n v="-44829"/>
  </r>
  <r>
    <x v="22"/>
    <x v="3"/>
    <n v="1507"/>
    <n v="463"/>
    <n v="258944"/>
    <n v="6.08"/>
    <n v="16443"/>
    <n v="-14936"/>
  </r>
  <r>
    <x v="23"/>
    <x v="3"/>
    <n v="454"/>
    <n v="105"/>
    <n v="121091"/>
    <n v="7.97"/>
    <n v="9269"/>
    <n v="-8815"/>
  </r>
  <r>
    <x v="24"/>
    <x v="3"/>
    <n v="278"/>
    <n v="218"/>
    <n v="301695"/>
    <n v="4.68"/>
    <n v="22373"/>
    <n v="-22095"/>
  </r>
  <r>
    <x v="25"/>
    <x v="3"/>
    <n v="1293"/>
    <n v="408"/>
    <n v="62535"/>
    <n v="8.9"/>
    <n v="37876"/>
    <n v="-36583"/>
  </r>
  <r>
    <x v="26"/>
    <x v="3"/>
    <n v="452"/>
    <n v="161"/>
    <n v="221274"/>
    <n v="2.65"/>
    <n v="40888"/>
    <n v="-40436"/>
  </r>
  <r>
    <x v="27"/>
    <x v="3"/>
    <n v="736"/>
    <n v="163"/>
    <n v="451894"/>
    <n v="5.43"/>
    <n v="46625"/>
    <n v="-45889"/>
  </r>
  <r>
    <x v="28"/>
    <x v="3"/>
    <n v="1004"/>
    <n v="128"/>
    <n v="488901"/>
    <n v="8.09"/>
    <n v="49558"/>
    <n v="-48554"/>
  </r>
  <r>
    <x v="29"/>
    <x v="3"/>
    <n v="1900"/>
    <n v="311"/>
    <n v="25177"/>
    <n v="2.89"/>
    <n v="14154"/>
    <n v="-12254"/>
  </r>
  <r>
    <x v="30"/>
    <x v="3"/>
    <n v="1495"/>
    <n v="35"/>
    <n v="136845"/>
    <n v="4.4800000000000004"/>
    <n v="39931"/>
    <n v="-38436"/>
  </r>
  <r>
    <x v="31"/>
    <x v="3"/>
    <n v="891"/>
    <n v="45"/>
    <n v="95410"/>
    <n v="8.33"/>
    <n v="15045"/>
    <n v="-14154"/>
  </r>
  <r>
    <x v="32"/>
    <x v="3"/>
    <n v="1331"/>
    <n v="430"/>
    <n v="14437"/>
    <n v="3.29"/>
    <n v="40868"/>
    <n v="-39537"/>
  </r>
  <r>
    <x v="33"/>
    <x v="3"/>
    <n v="1166"/>
    <n v="442"/>
    <n v="336949"/>
    <n v="4.68"/>
    <n v="7705"/>
    <n v="-6539"/>
  </r>
  <r>
    <x v="34"/>
    <x v="3"/>
    <n v="1411"/>
    <n v="186"/>
    <n v="461669"/>
    <n v="3.72"/>
    <n v="43999"/>
    <n v="-42588"/>
  </r>
  <r>
    <x v="35"/>
    <x v="3"/>
    <n v="152"/>
    <n v="355"/>
    <n v="270766"/>
    <n v="9.48"/>
    <n v="18001"/>
    <n v="-17849"/>
  </r>
  <r>
    <x v="36"/>
    <x v="3"/>
    <n v="1707"/>
    <n v="263"/>
    <n v="485280"/>
    <n v="9.0299999999999994"/>
    <n v="24494"/>
    <n v="-22787"/>
  </r>
  <r>
    <x v="37"/>
    <x v="3"/>
    <n v="1662"/>
    <n v="487"/>
    <n v="105980"/>
    <n v="9.08"/>
    <n v="22996"/>
    <n v="-21334"/>
  </r>
  <r>
    <x v="38"/>
    <x v="3"/>
    <n v="1063"/>
    <n v="47"/>
    <n v="464239"/>
    <n v="6.58"/>
    <n v="39031"/>
    <n v="-37968"/>
  </r>
  <r>
    <x v="39"/>
    <x v="3"/>
    <n v="510"/>
    <n v="195"/>
    <n v="224534"/>
    <n v="9.4"/>
    <n v="30987"/>
    <n v="-30477"/>
  </r>
  <r>
    <x v="40"/>
    <x v="3"/>
    <n v="1658"/>
    <n v="416"/>
    <n v="98397"/>
    <n v="6.11"/>
    <n v="11383"/>
    <n v="-9725"/>
  </r>
  <r>
    <x v="41"/>
    <x v="3"/>
    <n v="1596"/>
    <n v="211"/>
    <n v="17380"/>
    <n v="8.64"/>
    <n v="35801"/>
    <n v="-34205"/>
  </r>
  <r>
    <x v="42"/>
    <x v="3"/>
    <n v="442"/>
    <n v="53"/>
    <n v="441931"/>
    <n v="1.87"/>
    <n v="20059"/>
    <n v="-19617"/>
  </r>
  <r>
    <x v="43"/>
    <x v="3"/>
    <n v="1957"/>
    <n v="490"/>
    <n v="435726"/>
    <n v="4.7300000000000004"/>
    <n v="15969"/>
    <n v="-14012"/>
  </r>
  <r>
    <x v="44"/>
    <x v="3"/>
    <n v="623"/>
    <n v="414"/>
    <n v="290354"/>
    <n v="6.49"/>
    <n v="39923"/>
    <n v="-39300"/>
  </r>
  <r>
    <x v="45"/>
    <x v="3"/>
    <n v="520"/>
    <n v="375"/>
    <n v="369525"/>
    <n v="6.54"/>
    <n v="20733"/>
    <n v="-20213"/>
  </r>
  <r>
    <x v="46"/>
    <x v="3"/>
    <n v="1707"/>
    <n v="74"/>
    <n v="270958"/>
    <n v="3.09"/>
    <n v="14090"/>
    <n v="-12383"/>
  </r>
  <r>
    <x v="47"/>
    <x v="3"/>
    <n v="777"/>
    <n v="140"/>
    <n v="11435"/>
    <n v="1.6"/>
    <n v="6832"/>
    <n v="-6055"/>
  </r>
  <r>
    <x v="48"/>
    <x v="3"/>
    <n v="1035"/>
    <n v="171"/>
    <n v="148477"/>
    <n v="5.21"/>
    <n v="7541"/>
    <n v="-6506"/>
  </r>
  <r>
    <x v="49"/>
    <x v="3"/>
    <n v="119"/>
    <n v="456"/>
    <n v="82558"/>
    <n v="6.81"/>
    <n v="12174"/>
    <n v="-12055"/>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
  <r>
    <s v="03-06-2024"/>
    <x v="0"/>
    <n v="1312"/>
    <n v="310"/>
    <n v="42654"/>
    <n v="4.9800000000000004"/>
    <n v="9566"/>
    <n v="1311.9927322173771"/>
  </r>
  <r>
    <s v="10-06-2024"/>
    <x v="0"/>
    <n v="1697"/>
    <n v="414"/>
    <n v="316555"/>
    <n v="2.37"/>
    <n v="7924"/>
    <n v="1696.9986921703969"/>
  </r>
  <r>
    <s v="17-06-2024"/>
    <x v="0"/>
    <n v="1753"/>
    <n v="371"/>
    <n v="169496"/>
    <n v="8.11"/>
    <n v="46670"/>
    <n v="1752.9978111577855"/>
  </r>
  <r>
    <s v="24-06-2024"/>
    <x v="0"/>
    <n v="1779"/>
    <n v="109"/>
    <n v="26295"/>
    <n v="9.1199999999999992"/>
    <n v="30635"/>
    <n v="1778.9958547252329"/>
  </r>
  <r>
    <s v="01-07-2024"/>
    <x v="0"/>
    <n v="505"/>
    <n v="441"/>
    <n v="220020"/>
    <n v="4.4800000000000004"/>
    <n v="42307"/>
    <n v="504.99799563676032"/>
  </r>
  <r>
    <s v="08-07-2024"/>
    <x v="0"/>
    <n v="350"/>
    <n v="41"/>
    <n v="251694"/>
    <n v="1.91"/>
    <n v="38610"/>
    <n v="349.99983710378473"/>
  </r>
  <r>
    <s v="15-07-2024"/>
    <x v="0"/>
    <n v="170"/>
    <n v="334"/>
    <n v="334626"/>
    <n v="6.44"/>
    <n v="43420"/>
    <n v="169.99900187074525"/>
  </r>
  <r>
    <s v="22-07-2024"/>
    <x v="0"/>
    <n v="1391"/>
    <n v="430"/>
    <n v="295032"/>
    <n v="7.86"/>
    <n v="26067"/>
    <n v="1390.9985425309796"/>
  </r>
  <r>
    <s v="29-07-2024"/>
    <x v="0"/>
    <n v="160"/>
    <n v="478"/>
    <n v="435034"/>
    <n v="7.73"/>
    <n v="4839"/>
    <n v="159.99890123530574"/>
  </r>
  <r>
    <s v="05-08-2024"/>
    <x v="0"/>
    <n v="214"/>
    <n v="411"/>
    <n v="125034"/>
    <n v="6.11"/>
    <n v="26455"/>
    <n v="213.99671289409281"/>
  </r>
  <r>
    <s v="12-08-2024"/>
    <x v="0"/>
    <n v="1534"/>
    <n v="200"/>
    <n v="307612"/>
    <n v="6.01"/>
    <n v="37903"/>
    <n v="1533.9993498303056"/>
  </r>
  <r>
    <s v="19-08-2024"/>
    <x v="0"/>
    <n v="1078"/>
    <n v="20"/>
    <n v="183924"/>
    <n v="8.84"/>
    <n v="14203"/>
    <n v="1077.9998912594333"/>
  </r>
  <r>
    <s v="26-08-2024"/>
    <x v="0"/>
    <n v="248"/>
    <n v="211"/>
    <n v="379380"/>
    <n v="9.0399999999999991"/>
    <n v="26925"/>
    <n v="247.99944382940586"/>
  </r>
  <r>
    <s v="02-09-2024"/>
    <x v="0"/>
    <n v="1520"/>
    <n v="475"/>
    <n v="496982"/>
    <n v="6.41"/>
    <n v="24384"/>
    <n v="1519.9990442309781"/>
  </r>
  <r>
    <s v="09-09-2024"/>
    <x v="0"/>
    <n v="1842"/>
    <n v="414"/>
    <n v="307524"/>
    <n v="1.76"/>
    <n v="40478"/>
    <n v="1841.9986537636087"/>
  </r>
  <r>
    <s v="16-09-2024"/>
    <x v="0"/>
    <n v="443"/>
    <n v="345"/>
    <n v="474162"/>
    <n v="9.1999999999999993"/>
    <n v="47462"/>
    <n v="442.99927240057195"/>
  </r>
  <r>
    <s v="23-09-2024"/>
    <x v="0"/>
    <n v="198"/>
    <n v="217"/>
    <n v="239753"/>
    <n v="7.36"/>
    <n v="11901"/>
    <n v="197.99909490183649"/>
  </r>
  <r>
    <s v="30-09-2024"/>
    <x v="0"/>
    <n v="250"/>
    <n v="429"/>
    <n v="453423"/>
    <n v="1.77"/>
    <n v="2315"/>
    <n v="249.99905386361081"/>
  </r>
  <r>
    <s v="07-10-2024"/>
    <x v="0"/>
    <n v="1929"/>
    <n v="267"/>
    <n v="379363"/>
    <n v="1.75"/>
    <n v="43836"/>
    <n v="1928.999296188611"/>
  </r>
  <r>
    <s v="14-10-2024"/>
    <x v="0"/>
    <n v="643"/>
    <n v="358"/>
    <n v="157599"/>
    <n v="3.88"/>
    <n v="7285"/>
    <n v="642.99772841198228"/>
  </r>
  <r>
    <s v="21-10-2024"/>
    <x v="0"/>
    <n v="508"/>
    <n v="69"/>
    <n v="23492"/>
    <n v="3.16"/>
    <n v="42824"/>
    <n v="507.99706282989956"/>
  </r>
  <r>
    <s v="28-10-2024"/>
    <x v="0"/>
    <n v="859"/>
    <n v="473"/>
    <n v="209987"/>
    <n v="4.46"/>
    <n v="30214"/>
    <n v="858.99774747960589"/>
  </r>
  <r>
    <s v="04-11-2024"/>
    <x v="0"/>
    <n v="947"/>
    <n v="407"/>
    <n v="319186"/>
    <n v="3.32"/>
    <n v="4996"/>
    <n v="946.99872488141716"/>
  </r>
  <r>
    <s v="11-11-2024"/>
    <x v="0"/>
    <n v="171"/>
    <n v="277"/>
    <n v="309483"/>
    <n v="8.6999999999999993"/>
    <n v="38452"/>
    <n v="170.99910495891535"/>
  </r>
  <r>
    <s v="18-11-2024"/>
    <x v="0"/>
    <n v="513"/>
    <n v="441"/>
    <n v="338847"/>
    <n v="2.68"/>
    <n v="39997"/>
    <n v="512.99869852765403"/>
  </r>
  <r>
    <s v="25-11-2024"/>
    <x v="0"/>
    <n v="1710"/>
    <n v="378"/>
    <n v="336661"/>
    <n v="6.2"/>
    <n v="28498"/>
    <n v="1709.9988772088243"/>
  </r>
  <r>
    <s v="02-12-2024"/>
    <x v="0"/>
    <n v="1902"/>
    <n v="196"/>
    <n v="470269"/>
    <n v="4.79"/>
    <n v="26103"/>
    <n v="1901.9995832172649"/>
  </r>
  <r>
    <s v="09-12-2024"/>
    <x v="0"/>
    <n v="1514"/>
    <n v="141"/>
    <n v="35842"/>
    <n v="7.47"/>
    <n v="18601"/>
    <n v="1513.9960660677418"/>
  </r>
  <r>
    <s v="16-12-2024"/>
    <x v="0"/>
    <n v="1623"/>
    <n v="246"/>
    <n v="415815"/>
    <n v="8.11"/>
    <n v="18656"/>
    <n v="1622.9994083907507"/>
  </r>
  <r>
    <s v="23-12-2024"/>
    <x v="0"/>
    <n v="1155"/>
    <n v="425"/>
    <n v="93347"/>
    <n v="2.02"/>
    <n v="47502"/>
    <n v="1154.9954470952468"/>
  </r>
  <r>
    <s v="30-12-2024"/>
    <x v="0"/>
    <n v="1980"/>
    <n v="204"/>
    <n v="379431"/>
    <n v="3.09"/>
    <n v="25140"/>
    <n v="1979.9994623528389"/>
  </r>
  <r>
    <s v="06-01-2025"/>
    <x v="0"/>
    <n v="816"/>
    <n v="196"/>
    <n v="95728"/>
    <n v="8.1999999999999993"/>
    <n v="17951"/>
    <n v="815.99795253217451"/>
  </r>
  <r>
    <s v="13-01-2025"/>
    <x v="0"/>
    <n v="651"/>
    <n v="353"/>
    <n v="224699"/>
    <n v="5.61"/>
    <n v="45708"/>
    <n v="650.99842900947488"/>
  </r>
  <r>
    <s v="20-01-2025"/>
    <x v="0"/>
    <n v="663"/>
    <n v="236"/>
    <n v="479490"/>
    <n v="4.51"/>
    <n v="23853"/>
    <n v="662.99950781038183"/>
  </r>
  <r>
    <s v="27-01-2025"/>
    <x v="0"/>
    <n v="1249"/>
    <n v="351"/>
    <n v="321307"/>
    <n v="6.37"/>
    <n v="20560"/>
    <n v="1248.998907586825"/>
  </r>
  <r>
    <s v="03-02-2025"/>
    <x v="0"/>
    <n v="1159"/>
    <n v="411"/>
    <n v="135987"/>
    <n v="8.6999999999999993"/>
    <n v="40323"/>
    <n v="1158.9969776522755"/>
  </r>
  <r>
    <s v="10-02-2025"/>
    <x v="0"/>
    <n v="1294"/>
    <n v="382"/>
    <n v="309914"/>
    <n v="8.0299999999999994"/>
    <n v="23489"/>
    <n v="1293.9987673999883"/>
  </r>
  <r>
    <s v="17-02-2025"/>
    <x v="0"/>
    <n v="1895"/>
    <n v="305"/>
    <n v="104967"/>
    <n v="3.85"/>
    <n v="31853"/>
    <n v="1894.9970943248832"/>
  </r>
  <r>
    <s v="24-02-2025"/>
    <x v="0"/>
    <n v="1884"/>
    <n v="177"/>
    <n v="230448"/>
    <n v="7.8"/>
    <n v="22713"/>
    <n v="1883.9992319308478"/>
  </r>
  <r>
    <s v="03-03-2025"/>
    <x v="0"/>
    <n v="345"/>
    <n v="464"/>
    <n v="366881"/>
    <n v="4.55"/>
    <n v="20553"/>
    <n v="344.99873528473807"/>
  </r>
  <r>
    <s v="10-03-2025"/>
    <x v="0"/>
    <n v="1098"/>
    <n v="190"/>
    <n v="340842"/>
    <n v="9.39"/>
    <n v="21539"/>
    <n v="1097.9994425569619"/>
  </r>
  <r>
    <s v="17-03-2025"/>
    <x v="0"/>
    <n v="1358"/>
    <n v="242"/>
    <n v="342129"/>
    <n v="4.9400000000000004"/>
    <n v="29116"/>
    <n v="1357.9992926644629"/>
  </r>
  <r>
    <s v="24-03-2025"/>
    <x v="0"/>
    <n v="609"/>
    <n v="135"/>
    <n v="373606"/>
    <n v="8.52"/>
    <n v="21453"/>
    <n v="608.99963865676671"/>
  </r>
  <r>
    <s v="31-03-2025"/>
    <x v="0"/>
    <n v="988"/>
    <n v="474"/>
    <n v="370070"/>
    <n v="9.4600000000000009"/>
    <n v="23461"/>
    <n v="987.99871916123982"/>
  </r>
  <r>
    <s v="07-04-2025"/>
    <x v="0"/>
    <n v="1307"/>
    <n v="278"/>
    <n v="98596"/>
    <n v="2.4900000000000002"/>
    <n v="47603"/>
    <n v="1306.9971804129984"/>
  </r>
  <r>
    <s v="14-04-2025"/>
    <x v="0"/>
    <n v="198"/>
    <n v="373"/>
    <n v="70707"/>
    <n v="4.83"/>
    <n v="25920"/>
    <n v="197.99472470901043"/>
  </r>
  <r>
    <s v="21-04-2025"/>
    <x v="0"/>
    <n v="1375"/>
    <n v="330"/>
    <n v="377382"/>
    <n v="2.6"/>
    <n v="7875"/>
    <n v="1374.999125554478"/>
  </r>
  <r>
    <s v="28-04-2025"/>
    <x v="0"/>
    <n v="833"/>
    <n v="380"/>
    <n v="224830"/>
    <n v="3.86"/>
    <n v="3582"/>
    <n v="832.99830983409686"/>
  </r>
  <r>
    <s v="05-05-2025"/>
    <x v="0"/>
    <n v="405"/>
    <n v="66"/>
    <n v="418696"/>
    <n v="5.59"/>
    <n v="48419"/>
    <n v="404.99984236773219"/>
  </r>
  <r>
    <s v="12-05-2025"/>
    <x v="0"/>
    <n v="837"/>
    <n v="430"/>
    <n v="364820"/>
    <n v="4"/>
    <n v="49400"/>
    <n v="836.99882133654955"/>
  </r>
  <r>
    <s v="03-06-2024"/>
    <x v="1"/>
    <n v="1135"/>
    <n v="88"/>
    <n v="344084"/>
    <n v="8.06"/>
    <n v="5904"/>
    <n v="1134.9997442484976"/>
  </r>
  <r>
    <s v="10-06-2024"/>
    <x v="1"/>
    <n v="656"/>
    <n v="139"/>
    <n v="49157"/>
    <n v="9.0500000000000007"/>
    <n v="9920"/>
    <n v="655.99717232540638"/>
  </r>
  <r>
    <s v="17-06-2024"/>
    <x v="1"/>
    <n v="1048"/>
    <n v="155"/>
    <n v="456946"/>
    <n v="2.46"/>
    <n v="11329"/>
    <n v="1047.9996607914284"/>
  </r>
  <r>
    <s v="24-06-2024"/>
    <x v="1"/>
    <n v="911"/>
    <n v="282"/>
    <n v="35664"/>
    <n v="6.92"/>
    <n v="18050"/>
    <n v="910.99209286675637"/>
  </r>
  <r>
    <s v="01-07-2024"/>
    <x v="1"/>
    <n v="226"/>
    <n v="445"/>
    <n v="419447"/>
    <n v="9.36"/>
    <n v="9566"/>
    <n v="225.99893907931158"/>
  </r>
  <r>
    <s v="08-07-2024"/>
    <x v="1"/>
    <n v="1757"/>
    <n v="85"/>
    <n v="58223"/>
    <n v="8.74"/>
    <n v="22728"/>
    <n v="1756.9985400958385"/>
  </r>
  <r>
    <s v="15-07-2024"/>
    <x v="1"/>
    <n v="1960"/>
    <n v="115"/>
    <n v="154169"/>
    <n v="3.74"/>
    <n v="10740"/>
    <n v="1959.9992540653438"/>
  </r>
  <r>
    <s v="22-07-2024"/>
    <x v="1"/>
    <n v="508"/>
    <n v="349"/>
    <n v="473812"/>
    <n v="7.88"/>
    <n v="17328"/>
    <n v="507.99926342093488"/>
  </r>
  <r>
    <s v="29-07-2024"/>
    <x v="1"/>
    <n v="653"/>
    <n v="112"/>
    <n v="23664"/>
    <n v="4.05"/>
    <n v="15353"/>
    <n v="652.99526707234622"/>
  </r>
  <r>
    <s v="05-08-2024"/>
    <x v="1"/>
    <n v="645"/>
    <n v="293"/>
    <n v="437968"/>
    <n v="7.83"/>
    <n v="49303"/>
    <n v="644.99933100135172"/>
  </r>
  <r>
    <s v="12-08-2024"/>
    <x v="1"/>
    <n v="1528"/>
    <n v="203"/>
    <n v="489188"/>
    <n v="6.23"/>
    <n v="47101"/>
    <n v="1527.9995850266155"/>
  </r>
  <r>
    <s v="19-08-2024"/>
    <x v="1"/>
    <n v="215"/>
    <n v="139"/>
    <n v="325444"/>
    <n v="3.25"/>
    <n v="35501"/>
    <n v="214.99957289118865"/>
  </r>
  <r>
    <s v="26-08-2024"/>
    <x v="1"/>
    <n v="1685"/>
    <n v="76"/>
    <n v="453799"/>
    <n v="5.71"/>
    <n v="24913"/>
    <n v="1684.9998325249726"/>
  </r>
  <r>
    <s v="02-09-2024"/>
    <x v="1"/>
    <n v="1429"/>
    <n v="182"/>
    <n v="101332"/>
    <n v="7.16"/>
    <n v="37829"/>
    <n v="1428.9982039237359"/>
  </r>
  <r>
    <s v="09-09-2024"/>
    <x v="1"/>
    <n v="1592"/>
    <n v="20"/>
    <n v="378054"/>
    <n v="9.09"/>
    <n v="26663"/>
    <n v="1591.9999470975047"/>
  </r>
  <r>
    <s v="16-09-2024"/>
    <x v="1"/>
    <n v="778"/>
    <n v="401"/>
    <n v="50793"/>
    <n v="3.4"/>
    <n v="21939"/>
    <n v="777.99210521134808"/>
  </r>
  <r>
    <s v="23-09-2024"/>
    <x v="1"/>
    <n v="817"/>
    <n v="151"/>
    <n v="422625"/>
    <n v="2.36"/>
    <n v="1083"/>
    <n v="816.99964270925761"/>
  </r>
  <r>
    <s v="30-09-2024"/>
    <x v="1"/>
    <n v="1433"/>
    <n v="408"/>
    <n v="370269"/>
    <n v="3.3"/>
    <n v="30575"/>
    <n v="1432.9988980984094"/>
  </r>
  <r>
    <s v="07-10-2024"/>
    <x v="1"/>
    <n v="1939"/>
    <n v="67"/>
    <n v="187183"/>
    <n v="6.25"/>
    <n v="41215"/>
    <n v="1938.9996420615121"/>
  </r>
  <r>
    <s v="14-10-2024"/>
    <x v="1"/>
    <n v="1527"/>
    <n v="303"/>
    <n v="388555"/>
    <n v="8.9"/>
    <n v="36397"/>
    <n v="1526.9992201876182"/>
  </r>
  <r>
    <s v="21-10-2024"/>
    <x v="1"/>
    <n v="703"/>
    <n v="441"/>
    <n v="357089"/>
    <n v="6.5"/>
    <n v="32478"/>
    <n v="702.99876501376411"/>
  </r>
  <r>
    <s v="28-10-2024"/>
    <x v="1"/>
    <n v="642"/>
    <n v="66"/>
    <n v="346522"/>
    <n v="5.85"/>
    <n v="13116"/>
    <n v="641.9998095359025"/>
  </r>
  <r>
    <s v="04-11-2024"/>
    <x v="1"/>
    <n v="1466"/>
    <n v="69"/>
    <n v="54935"/>
    <n v="6.85"/>
    <n v="36484"/>
    <n v="1465.9987439701465"/>
  </r>
  <r>
    <s v="11-11-2024"/>
    <x v="1"/>
    <n v="1075"/>
    <n v="173"/>
    <n v="51395"/>
    <n v="4.66"/>
    <n v="47812"/>
    <n v="1074.9966339138048"/>
  </r>
  <r>
    <s v="18-11-2024"/>
    <x v="1"/>
    <n v="187"/>
    <n v="236"/>
    <n v="51087"/>
    <n v="9.41"/>
    <n v="29533"/>
    <n v="186.99538042946347"/>
  </r>
  <r>
    <s v="25-11-2024"/>
    <x v="1"/>
    <n v="1854"/>
    <n v="161"/>
    <n v="282466"/>
    <n v="5.17"/>
    <n v="1810"/>
    <n v="1853.9994300198962"/>
  </r>
  <r>
    <s v="02-12-2024"/>
    <x v="1"/>
    <n v="1696"/>
    <n v="71"/>
    <n v="421957"/>
    <n v="3.79"/>
    <n v="36103"/>
    <n v="1695.9998317364091"/>
  </r>
  <r>
    <s v="09-12-2024"/>
    <x v="1"/>
    <n v="1494"/>
    <n v="375"/>
    <n v="220616"/>
    <n v="1.81"/>
    <n v="22724"/>
    <n v="1493.9983002139463"/>
  </r>
  <r>
    <s v="16-12-2024"/>
    <x v="1"/>
    <n v="1502"/>
    <n v="70"/>
    <n v="465553"/>
    <n v="3.32"/>
    <n v="20692"/>
    <n v="1501.9998496411795"/>
  </r>
  <r>
    <s v="23-12-2024"/>
    <x v="1"/>
    <n v="1092"/>
    <n v="408"/>
    <n v="280795"/>
    <n v="8.44"/>
    <n v="4683"/>
    <n v="1091.9985469826743"/>
  </r>
  <r>
    <s v="30-12-2024"/>
    <x v="1"/>
    <n v="1814"/>
    <n v="49"/>
    <n v="140804"/>
    <n v="1.76"/>
    <n v="4313"/>
    <n v="1813.9996519985227"/>
  </r>
  <r>
    <s v="06-01-2025"/>
    <x v="1"/>
    <n v="1013"/>
    <n v="110"/>
    <n v="466382"/>
    <n v="5.3"/>
    <n v="37132"/>
    <n v="1012.9997641418408"/>
  </r>
  <r>
    <s v="13-01-2025"/>
    <x v="1"/>
    <n v="1855"/>
    <n v="133"/>
    <n v="349413"/>
    <n v="3.3"/>
    <n v="14548"/>
    <n v="1854.999619361615"/>
  </r>
  <r>
    <s v="20-01-2025"/>
    <x v="1"/>
    <n v="1748"/>
    <n v="176"/>
    <n v="383681"/>
    <n v="9.24"/>
    <n v="43122"/>
    <n v="1747.9995412855992"/>
  </r>
  <r>
    <s v="27-01-2025"/>
    <x v="1"/>
    <n v="115"/>
    <n v="281"/>
    <n v="357265"/>
    <n v="9.23"/>
    <n v="25525"/>
    <n v="114.9992134689936"/>
  </r>
  <r>
    <s v="03-02-2025"/>
    <x v="1"/>
    <n v="1556"/>
    <n v="476"/>
    <n v="351556"/>
    <n v="3.89"/>
    <n v="10825"/>
    <n v="1555.9986460194109"/>
  </r>
  <r>
    <s v="10-02-2025"/>
    <x v="1"/>
    <n v="1957"/>
    <n v="234"/>
    <n v="222126"/>
    <n v="4.6100000000000003"/>
    <n v="3314"/>
    <n v="1956.9989465438534"/>
  </r>
  <r>
    <s v="17-02-2025"/>
    <x v="1"/>
    <n v="1138"/>
    <n v="173"/>
    <n v="453243"/>
    <n v="2.86"/>
    <n v="44097"/>
    <n v="1137.9996183062949"/>
  </r>
  <r>
    <s v="24-02-2025"/>
    <x v="1"/>
    <n v="1440"/>
    <n v="65"/>
    <n v="126524"/>
    <n v="4.34"/>
    <n v="49772"/>
    <n v="1439.9994862634758"/>
  </r>
  <r>
    <s v="03-03-2025"/>
    <x v="1"/>
    <n v="1371"/>
    <n v="56"/>
    <n v="257579"/>
    <n v="8.6199999999999992"/>
    <n v="33799"/>
    <n v="1370.999782590972"/>
  </r>
  <r>
    <s v="10-03-2025"/>
    <x v="1"/>
    <n v="393"/>
    <n v="181"/>
    <n v="462142"/>
    <n v="7.23"/>
    <n v="6296"/>
    <n v="392.99960834548688"/>
  </r>
  <r>
    <s v="17-03-2025"/>
    <x v="1"/>
    <n v="1102"/>
    <n v="422"/>
    <n v="410330"/>
    <n v="7.74"/>
    <n v="9480"/>
    <n v="1101.9989715594766"/>
  </r>
  <r>
    <s v="24-03-2025"/>
    <x v="1"/>
    <n v="490"/>
    <n v="29"/>
    <n v="364810"/>
    <n v="1.53"/>
    <n v="49077"/>
    <n v="489.99992050656505"/>
  </r>
  <r>
    <s v="31-03-2025"/>
    <x v="1"/>
    <n v="1033"/>
    <n v="392"/>
    <n v="282780"/>
    <n v="6.27"/>
    <n v="23140"/>
    <n v="1032.9986137633496"/>
  </r>
  <r>
    <s v="07-04-2025"/>
    <x v="1"/>
    <n v="559"/>
    <n v="392"/>
    <n v="78789"/>
    <n v="3.19"/>
    <n v="2436"/>
    <n v="558.99502468618721"/>
  </r>
  <r>
    <s v="14-04-2025"/>
    <x v="1"/>
    <n v="198"/>
    <n v="358"/>
    <n v="66682"/>
    <n v="6.73"/>
    <n v="2293"/>
    <n v="197.99463123481598"/>
  </r>
  <r>
    <s v="21-04-2025"/>
    <x v="1"/>
    <n v="961"/>
    <n v="358"/>
    <n v="62942"/>
    <n v="6.8"/>
    <n v="18693"/>
    <n v="960.99431222395219"/>
  </r>
  <r>
    <s v="28-04-2025"/>
    <x v="1"/>
    <n v="1693"/>
    <n v="154"/>
    <n v="445944"/>
    <n v="5.69"/>
    <n v="14216"/>
    <n v="1692.9996546651598"/>
  </r>
  <r>
    <s v="05-05-2025"/>
    <x v="1"/>
    <n v="1957"/>
    <n v="76"/>
    <n v="447902"/>
    <n v="6.09"/>
    <n v="33381"/>
    <n v="1956.9998303200255"/>
  </r>
  <r>
    <s v="12-05-2025"/>
    <x v="1"/>
    <n v="1765"/>
    <n v="109"/>
    <n v="468301"/>
    <n v="1.82"/>
    <n v="20042"/>
    <n v="1764.9997672437171"/>
  </r>
  <r>
    <s v="03-06-2024"/>
    <x v="2"/>
    <n v="584"/>
    <n v="169"/>
    <n v="146834"/>
    <n v="8.31"/>
    <n v="26752"/>
    <n v="583.99884904041301"/>
  </r>
  <r>
    <s v="10-06-2024"/>
    <x v="2"/>
    <n v="436"/>
    <n v="250"/>
    <n v="254347"/>
    <n v="4.01"/>
    <n v="8912"/>
    <n v="435.99901709082474"/>
  </r>
  <r>
    <s v="17-06-2024"/>
    <x v="2"/>
    <n v="1335"/>
    <n v="40"/>
    <n v="122732"/>
    <n v="8.19"/>
    <n v="22482"/>
    <n v="1334.9996740866277"/>
  </r>
  <r>
    <s v="24-06-2024"/>
    <x v="2"/>
    <n v="1238"/>
    <n v="403"/>
    <n v="298421"/>
    <n v="3.5"/>
    <n v="31280"/>
    <n v="1237.9986495588448"/>
  </r>
  <r>
    <s v="01-07-2024"/>
    <x v="2"/>
    <n v="1420"/>
    <n v="63"/>
    <n v="315305"/>
    <n v="6.19"/>
    <n v="5914"/>
    <n v="1419.9998001934634"/>
  </r>
  <r>
    <s v="08-07-2024"/>
    <x v="2"/>
    <n v="987"/>
    <n v="440"/>
    <n v="389810"/>
    <n v="4.66"/>
    <n v="2932"/>
    <n v="986.99887124496547"/>
  </r>
  <r>
    <s v="15-07-2024"/>
    <x v="2"/>
    <n v="704"/>
    <n v="275"/>
    <n v="226002"/>
    <n v="8.56"/>
    <n v="32393"/>
    <n v="703.99878319660888"/>
  </r>
  <r>
    <s v="22-07-2024"/>
    <x v="2"/>
    <n v="1701"/>
    <n v="385"/>
    <n v="198278"/>
    <n v="5.34"/>
    <n v="32763"/>
    <n v="1700.9980582818064"/>
  </r>
  <r>
    <s v="29-07-2024"/>
    <x v="2"/>
    <n v="1756"/>
    <n v="261"/>
    <n v="287574"/>
    <n v="4.3600000000000003"/>
    <n v="39272"/>
    <n v="1755.9990924075194"/>
  </r>
  <r>
    <s v="05-08-2024"/>
    <x v="2"/>
    <n v="826"/>
    <n v="498"/>
    <n v="449994"/>
    <n v="9.43"/>
    <n v="12384"/>
    <n v="825.99889331857753"/>
  </r>
  <r>
    <s v="12-08-2024"/>
    <x v="2"/>
    <n v="485"/>
    <n v="448"/>
    <n v="434883"/>
    <n v="8.5500000000000007"/>
    <n v="33258"/>
    <n v="484.99896983786442"/>
  </r>
  <r>
    <s v="19-08-2024"/>
    <x v="2"/>
    <n v="1751"/>
    <n v="86"/>
    <n v="188655"/>
    <n v="7.24"/>
    <n v="22206"/>
    <n v="1750.9995441414221"/>
  </r>
  <r>
    <s v="26-08-2024"/>
    <x v="2"/>
    <n v="1300"/>
    <n v="71"/>
    <n v="186454"/>
    <n v="3.91"/>
    <n v="9942"/>
    <n v="1299.9996192090275"/>
  </r>
  <r>
    <s v="02-09-2024"/>
    <x v="2"/>
    <n v="557"/>
    <n v="360"/>
    <n v="318779"/>
    <n v="8.02"/>
    <n v="25797"/>
    <n v="556.99887069098031"/>
  </r>
  <r>
    <s v="09-09-2024"/>
    <x v="2"/>
    <n v="751"/>
    <n v="491"/>
    <n v="434047"/>
    <n v="9.24"/>
    <n v="15476"/>
    <n v="750.99886878609925"/>
  </r>
  <r>
    <s v="16-09-2024"/>
    <x v="2"/>
    <n v="1472"/>
    <n v="347"/>
    <n v="392355"/>
    <n v="8.59"/>
    <n v="30270"/>
    <n v="1471.9991155968446"/>
  </r>
  <r>
    <s v="23-09-2024"/>
    <x v="2"/>
    <n v="1911"/>
    <n v="231"/>
    <n v="268516"/>
    <n v="8.5500000000000007"/>
    <n v="24018"/>
    <n v="1910.9991397160691"/>
  </r>
  <r>
    <s v="30-09-2024"/>
    <x v="2"/>
    <n v="752"/>
    <n v="153"/>
    <n v="64906"/>
    <n v="2.09"/>
    <n v="12148"/>
    <n v="751.99764274489257"/>
  </r>
  <r>
    <s v="07-10-2024"/>
    <x v="2"/>
    <n v="437"/>
    <n v="330"/>
    <n v="476486"/>
    <n v="4.97"/>
    <n v="4509"/>
    <n v="436.99930742980905"/>
  </r>
  <r>
    <s v="14-10-2024"/>
    <x v="2"/>
    <n v="201"/>
    <n v="221"/>
    <n v="309772"/>
    <n v="5.9"/>
    <n v="33174"/>
    <n v="200.99928657205945"/>
  </r>
  <r>
    <s v="21-10-2024"/>
    <x v="2"/>
    <n v="697"/>
    <n v="61"/>
    <n v="258287"/>
    <n v="8.25"/>
    <n v="21208"/>
    <n v="696.99976382860928"/>
  </r>
  <r>
    <s v="28-10-2024"/>
    <x v="2"/>
    <n v="191"/>
    <n v="154"/>
    <n v="240550"/>
    <n v="5.22"/>
    <n v="15827"/>
    <n v="190.99935980045728"/>
  </r>
  <r>
    <s v="04-11-2024"/>
    <x v="2"/>
    <n v="1821"/>
    <n v="218"/>
    <n v="439080"/>
    <n v="5.68"/>
    <n v="36095"/>
    <n v="1820.9995035073334"/>
  </r>
  <r>
    <s v="11-11-2024"/>
    <x v="2"/>
    <n v="1487"/>
    <n v="337"/>
    <n v="87305"/>
    <n v="2.46"/>
    <n v="30428"/>
    <n v="1486.996139969074"/>
  </r>
  <r>
    <s v="18-11-2024"/>
    <x v="2"/>
    <n v="628"/>
    <n v="183"/>
    <n v="487523"/>
    <n v="7.32"/>
    <n v="5391"/>
    <n v="627.99962463309419"/>
  </r>
  <r>
    <s v="25-11-2024"/>
    <x v="2"/>
    <n v="330"/>
    <n v="232"/>
    <n v="88455"/>
    <n v="2.69"/>
    <n v="39530"/>
    <n v="329.99737719744502"/>
  </r>
  <r>
    <s v="02-12-2024"/>
    <x v="2"/>
    <n v="1441"/>
    <n v="268"/>
    <n v="309904"/>
    <n v="6.37"/>
    <n v="3455"/>
    <n v="1440.9991352160669"/>
  </r>
  <r>
    <s v="09-12-2024"/>
    <x v="2"/>
    <n v="1937"/>
    <n v="210"/>
    <n v="20607"/>
    <n v="4.2"/>
    <n v="20861"/>
    <n v="1936.989809288106"/>
  </r>
  <r>
    <s v="16-12-2024"/>
    <x v="2"/>
    <n v="1592"/>
    <n v="233"/>
    <n v="327183"/>
    <n v="6.66"/>
    <n v="13316"/>
    <n v="1591.9992878603107"/>
  </r>
  <r>
    <s v="23-12-2024"/>
    <x v="2"/>
    <n v="1137"/>
    <n v="226"/>
    <n v="81119"/>
    <n v="7.74"/>
    <n v="35359"/>
    <n v="1136.9972139696001"/>
  </r>
  <r>
    <s v="30-12-2024"/>
    <x v="2"/>
    <n v="1786"/>
    <n v="257"/>
    <n v="274831"/>
    <n v="4.68"/>
    <n v="9118"/>
    <n v="1785.9990648798716"/>
  </r>
  <r>
    <s v="06-01-2025"/>
    <x v="2"/>
    <n v="1633"/>
    <n v="445"/>
    <n v="371156"/>
    <n v="2.2200000000000002"/>
    <n v="2798"/>
    <n v="1632.9988010432271"/>
  </r>
  <r>
    <s v="13-01-2025"/>
    <x v="2"/>
    <n v="118"/>
    <n v="262"/>
    <n v="487896"/>
    <n v="2.56"/>
    <n v="12350"/>
    <n v="117.99946300031154"/>
  </r>
  <r>
    <s v="20-01-2025"/>
    <x v="2"/>
    <n v="1040"/>
    <n v="149"/>
    <n v="124404"/>
    <n v="5.23"/>
    <n v="45380"/>
    <n v="1039.9988022893156"/>
  </r>
  <r>
    <s v="27-01-2025"/>
    <x v="2"/>
    <n v="1501"/>
    <n v="75"/>
    <n v="262569"/>
    <n v="2.0099999999999998"/>
    <n v="19119"/>
    <n v="1500.9997143607966"/>
  </r>
  <r>
    <s v="03-02-2025"/>
    <x v="2"/>
    <n v="927"/>
    <n v="358"/>
    <n v="177554"/>
    <n v="6.95"/>
    <n v="48270"/>
    <n v="926.99798371199745"/>
  </r>
  <r>
    <s v="10-02-2025"/>
    <x v="2"/>
    <n v="1587"/>
    <n v="385"/>
    <n v="126582"/>
    <n v="6.99"/>
    <n v="42832"/>
    <n v="1586.9969584933087"/>
  </r>
  <r>
    <s v="17-02-2025"/>
    <x v="2"/>
    <n v="362"/>
    <n v="399"/>
    <n v="145608"/>
    <n v="7.3"/>
    <n v="37636"/>
    <n v="361.99725976594692"/>
  </r>
  <r>
    <s v="24-02-2025"/>
    <x v="2"/>
    <n v="861"/>
    <n v="153"/>
    <n v="317007"/>
    <n v="3.85"/>
    <n v="8718"/>
    <n v="860.99951736081539"/>
  </r>
  <r>
    <s v="03-03-2025"/>
    <x v="2"/>
    <n v="946"/>
    <n v="47"/>
    <n v="466575"/>
    <n v="8.33"/>
    <n v="10002"/>
    <n v="945.99989926592718"/>
  </r>
  <r>
    <s v="10-03-2025"/>
    <x v="2"/>
    <n v="1399"/>
    <n v="49"/>
    <n v="12471"/>
    <n v="5.12"/>
    <n v="14722"/>
    <n v="1398.9960708844519"/>
  </r>
  <r>
    <s v="17-03-2025"/>
    <x v="2"/>
    <n v="1077"/>
    <n v="216"/>
    <n v="12447"/>
    <n v="1.8"/>
    <n v="14068"/>
    <n v="1076.9826464208243"/>
  </r>
  <r>
    <s v="24-03-2025"/>
    <x v="2"/>
    <n v="364"/>
    <n v="72"/>
    <n v="211090"/>
    <n v="5.53"/>
    <n v="21061"/>
    <n v="363.99965891325974"/>
  </r>
  <r>
    <s v="31-03-2025"/>
    <x v="2"/>
    <n v="1946"/>
    <n v="270"/>
    <n v="198350"/>
    <n v="7.5"/>
    <n v="11805"/>
    <n v="1945.9986387698514"/>
  </r>
  <r>
    <s v="07-04-2025"/>
    <x v="2"/>
    <n v="1432"/>
    <n v="425"/>
    <n v="29589"/>
    <n v="4.5"/>
    <n v="42964"/>
    <n v="1431.9856365541248"/>
  </r>
  <r>
    <s v="14-04-2025"/>
    <x v="2"/>
    <n v="353"/>
    <n v="300"/>
    <n v="142507"/>
    <n v="5.3"/>
    <n v="11035"/>
    <n v="352.99789484025348"/>
  </r>
  <r>
    <s v="21-04-2025"/>
    <x v="2"/>
    <n v="1147"/>
    <n v="388"/>
    <n v="333851"/>
    <n v="2.44"/>
    <n v="8471"/>
    <n v="1146.998837804889"/>
  </r>
  <r>
    <s v="28-04-2025"/>
    <x v="2"/>
    <n v="1222"/>
    <n v="274"/>
    <n v="487289"/>
    <n v="3.16"/>
    <n v="32500"/>
    <n v="1221.9994377053454"/>
  </r>
  <r>
    <s v="05-05-2025"/>
    <x v="2"/>
    <n v="1581"/>
    <n v="71"/>
    <n v="484364"/>
    <n v="3.55"/>
    <n v="16149"/>
    <n v="1580.9998534160259"/>
  </r>
  <r>
    <s v="12-05-2025"/>
    <x v="2"/>
    <n v="337"/>
    <n v="68"/>
    <n v="456298"/>
    <n v="7.57"/>
    <n v="4007"/>
    <n v="336.99985097458239"/>
  </r>
  <r>
    <s v="03-06-2024"/>
    <x v="3"/>
    <n v="1535"/>
    <n v="445"/>
    <n v="395536"/>
    <n v="4.1100000000000003"/>
    <n v="30671"/>
    <n v="1534.9988749443792"/>
  </r>
  <r>
    <s v="10-06-2024"/>
    <x v="3"/>
    <n v="1197"/>
    <n v="203"/>
    <n v="413878"/>
    <n v="3.16"/>
    <n v="21205"/>
    <n v="1196.9995095172974"/>
  </r>
  <r>
    <s v="17-06-2024"/>
    <x v="3"/>
    <n v="403"/>
    <n v="66"/>
    <n v="382851"/>
    <n v="3.49"/>
    <n v="24313"/>
    <n v="402.9998276091743"/>
  </r>
  <r>
    <s v="24-06-2024"/>
    <x v="3"/>
    <n v="308"/>
    <n v="431"/>
    <n v="426184"/>
    <n v="2.62"/>
    <n v="1783"/>
    <n v="307.99898869971656"/>
  </r>
  <r>
    <s v="01-07-2024"/>
    <x v="3"/>
    <n v="144"/>
    <n v="53"/>
    <n v="113678"/>
    <n v="8.7200000000000006"/>
    <n v="30060"/>
    <n v="143.99953377082636"/>
  </r>
  <r>
    <s v="08-07-2024"/>
    <x v="3"/>
    <n v="883"/>
    <n v="369"/>
    <n v="233694"/>
    <n v="2.88"/>
    <n v="15071"/>
    <n v="882.99842101209276"/>
  </r>
  <r>
    <s v="15-07-2024"/>
    <x v="3"/>
    <n v="224"/>
    <n v="64"/>
    <n v="156683"/>
    <n v="4.5599999999999996"/>
    <n v="28474"/>
    <n v="223.99959153194666"/>
  </r>
  <r>
    <s v="22-07-2024"/>
    <x v="3"/>
    <n v="804"/>
    <n v="487"/>
    <n v="306564"/>
    <n v="5.52"/>
    <n v="26452"/>
    <n v="803.99841142469438"/>
  </r>
  <r>
    <s v="29-07-2024"/>
    <x v="3"/>
    <n v="576"/>
    <n v="101"/>
    <n v="62499"/>
    <n v="3.48"/>
    <n v="16804"/>
    <n v="575.99838397414362"/>
  </r>
  <r>
    <s v="05-08-2024"/>
    <x v="3"/>
    <n v="460"/>
    <n v="141"/>
    <n v="320650"/>
    <n v="4.04"/>
    <n v="49372"/>
    <n v="459.99956026820519"/>
  </r>
  <r>
    <s v="12-08-2024"/>
    <x v="3"/>
    <n v="1210"/>
    <n v="178"/>
    <n v="102042"/>
    <n v="5.42"/>
    <n v="6915"/>
    <n v="1209.9982556202349"/>
  </r>
  <r>
    <s v="19-08-2024"/>
    <x v="3"/>
    <n v="221"/>
    <n v="31"/>
    <n v="87443"/>
    <n v="6.19"/>
    <n v="10283"/>
    <n v="220.99964548334344"/>
  </r>
  <r>
    <s v="26-08-2024"/>
    <x v="3"/>
    <n v="422"/>
    <n v="394"/>
    <n v="239044"/>
    <n v="7.83"/>
    <n v="32929"/>
    <n v="421.99835176787536"/>
  </r>
  <r>
    <s v="02-09-2024"/>
    <x v="3"/>
    <n v="728"/>
    <n v="395"/>
    <n v="370971"/>
    <n v="3.86"/>
    <n v="12646"/>
    <n v="727.99893522674279"/>
  </r>
  <r>
    <s v="09-09-2024"/>
    <x v="3"/>
    <n v="1409"/>
    <n v="309"/>
    <n v="64583"/>
    <n v="8.99"/>
    <n v="10217"/>
    <n v="1408.9952154591765"/>
  </r>
  <r>
    <s v="16-09-2024"/>
    <x v="3"/>
    <n v="123"/>
    <n v="155"/>
    <n v="119934"/>
    <n v="3.5"/>
    <n v="5442"/>
    <n v="122.99870762252573"/>
  </r>
  <r>
    <s v="23-09-2024"/>
    <x v="3"/>
    <n v="1218"/>
    <n v="212"/>
    <n v="63177"/>
    <n v="8.1300000000000008"/>
    <n v="38883"/>
    <n v="1217.9966443484179"/>
  </r>
  <r>
    <s v="30-09-2024"/>
    <x v="3"/>
    <n v="1918"/>
    <n v="212"/>
    <n v="94360"/>
    <n v="7.36"/>
    <n v="36851"/>
    <n v="1917.9977532852904"/>
  </r>
  <r>
    <s v="07-10-2024"/>
    <x v="3"/>
    <n v="307"/>
    <n v="189"/>
    <n v="117767"/>
    <n v="9.3000000000000007"/>
    <n v="27822"/>
    <n v="306.99839513615871"/>
  </r>
  <r>
    <s v="14-10-2024"/>
    <x v="3"/>
    <n v="414"/>
    <n v="47"/>
    <n v="199178"/>
    <n v="1.53"/>
    <n v="6742"/>
    <n v="413.99976403016399"/>
  </r>
  <r>
    <s v="21-10-2024"/>
    <x v="3"/>
    <n v="1707"/>
    <n v="223"/>
    <n v="256910"/>
    <n v="5.41"/>
    <n v="44321"/>
    <n v="1706.9991319917481"/>
  </r>
  <r>
    <s v="28-10-2024"/>
    <x v="3"/>
    <n v="1814"/>
    <n v="157"/>
    <n v="305827"/>
    <n v="1.99"/>
    <n v="46643"/>
    <n v="1813.9994866378704"/>
  </r>
  <r>
    <s v="04-11-2024"/>
    <x v="3"/>
    <n v="1507"/>
    <n v="463"/>
    <n v="258944"/>
    <n v="6.08"/>
    <n v="16443"/>
    <n v="1506.998211968611"/>
  </r>
  <r>
    <s v="11-11-2024"/>
    <x v="3"/>
    <n v="454"/>
    <n v="105"/>
    <n v="121091"/>
    <n v="7.97"/>
    <n v="9269"/>
    <n v="453.99913288353389"/>
  </r>
  <r>
    <s v="18-11-2024"/>
    <x v="3"/>
    <n v="278"/>
    <n v="218"/>
    <n v="301695"/>
    <n v="4.68"/>
    <n v="22373"/>
    <n v="277.99927741593331"/>
  </r>
  <r>
    <s v="25-11-2024"/>
    <x v="3"/>
    <n v="1293"/>
    <n v="408"/>
    <n v="62535"/>
    <n v="8.9"/>
    <n v="37876"/>
    <n v="1292.9934756536341"/>
  </r>
  <r>
    <s v="02-12-2024"/>
    <x v="3"/>
    <n v="452"/>
    <n v="161"/>
    <n v="221274"/>
    <n v="2.65"/>
    <n v="40888"/>
    <n v="451.99927239531081"/>
  </r>
  <r>
    <s v="09-12-2024"/>
    <x v="3"/>
    <n v="736"/>
    <n v="163"/>
    <n v="451894"/>
    <n v="5.43"/>
    <n v="46625"/>
    <n v="735.99963929594105"/>
  </r>
  <r>
    <s v="16-12-2024"/>
    <x v="3"/>
    <n v="1004"/>
    <n v="128"/>
    <n v="488901"/>
    <n v="8.09"/>
    <n v="49558"/>
    <n v="1003.9997381883039"/>
  </r>
  <r>
    <s v="23-12-2024"/>
    <x v="3"/>
    <n v="1900"/>
    <n v="311"/>
    <n v="25177"/>
    <n v="2.89"/>
    <n v="14154"/>
    <n v="1899.9876474560115"/>
  </r>
  <r>
    <s v="30-12-2024"/>
    <x v="3"/>
    <n v="1495"/>
    <n v="35"/>
    <n v="136845"/>
    <n v="4.4800000000000004"/>
    <n v="39931"/>
    <n v="1494.9997442361796"/>
  </r>
  <r>
    <s v="06-01-2025"/>
    <x v="3"/>
    <n v="891"/>
    <n v="45"/>
    <n v="95410"/>
    <n v="8.33"/>
    <n v="15045"/>
    <n v="890.99952835132581"/>
  </r>
  <r>
    <s v="13-01-2025"/>
    <x v="3"/>
    <n v="1331"/>
    <n v="430"/>
    <n v="14437"/>
    <n v="3.29"/>
    <n v="40868"/>
    <n v="1330.9702154187157"/>
  </r>
  <r>
    <s v="20-01-2025"/>
    <x v="3"/>
    <n v="1166"/>
    <n v="442"/>
    <n v="336949"/>
    <n v="4.68"/>
    <n v="7705"/>
    <n v="1165.9986882287824"/>
  </r>
  <r>
    <s v="27-01-2025"/>
    <x v="3"/>
    <n v="1411"/>
    <n v="186"/>
    <n v="461669"/>
    <n v="3.72"/>
    <n v="43999"/>
    <n v="1410.9995971139497"/>
  </r>
  <r>
    <s v="03-02-2025"/>
    <x v="3"/>
    <n v="152"/>
    <n v="355"/>
    <n v="270766"/>
    <n v="9.48"/>
    <n v="18001"/>
    <n v="151.99868890481079"/>
  </r>
  <r>
    <s v="10-02-2025"/>
    <x v="3"/>
    <n v="1707"/>
    <n v="263"/>
    <n v="485280"/>
    <n v="9.0299999999999994"/>
    <n v="24494"/>
    <n v="1706.9994580448401"/>
  </r>
  <r>
    <s v="17-02-2025"/>
    <x v="3"/>
    <n v="1662"/>
    <n v="487"/>
    <n v="105980"/>
    <n v="9.08"/>
    <n v="22996"/>
    <n v="1661.9954047933572"/>
  </r>
  <r>
    <s v="24-02-2025"/>
    <x v="3"/>
    <n v="1063"/>
    <n v="47"/>
    <n v="464239"/>
    <n v="6.58"/>
    <n v="39031"/>
    <n v="1062.9998987590443"/>
  </r>
  <r>
    <s v="03-03-2025"/>
    <x v="3"/>
    <n v="510"/>
    <n v="195"/>
    <n v="224534"/>
    <n v="9.4"/>
    <n v="30987"/>
    <n v="509.99913153464507"/>
  </r>
  <r>
    <s v="10-03-2025"/>
    <x v="3"/>
    <n v="1658"/>
    <n v="416"/>
    <n v="98397"/>
    <n v="6.11"/>
    <n v="11383"/>
    <n v="1657.9957722288282"/>
  </r>
  <r>
    <s v="17-03-2025"/>
    <x v="3"/>
    <n v="1596"/>
    <n v="211"/>
    <n v="17380"/>
    <n v="8.64"/>
    <n v="35801"/>
    <n v="1595.9878596087458"/>
  </r>
  <r>
    <s v="24-03-2025"/>
    <x v="3"/>
    <n v="442"/>
    <n v="53"/>
    <n v="441931"/>
    <n v="1.87"/>
    <n v="20059"/>
    <n v="441.99988007177592"/>
  </r>
  <r>
    <s v="31-03-2025"/>
    <x v="3"/>
    <n v="1957"/>
    <n v="490"/>
    <n v="435726"/>
    <n v="4.7300000000000004"/>
    <n v="15969"/>
    <n v="1956.9988754400702"/>
  </r>
  <r>
    <s v="07-04-2025"/>
    <x v="3"/>
    <n v="623"/>
    <n v="414"/>
    <n v="290354"/>
    <n v="6.49"/>
    <n v="39923"/>
    <n v="622.99857415430824"/>
  </r>
  <r>
    <s v="14-04-2025"/>
    <x v="3"/>
    <n v="520"/>
    <n v="375"/>
    <n v="369525"/>
    <n v="6.54"/>
    <n v="20733"/>
    <n v="519.99898518368173"/>
  </r>
  <r>
    <s v="21-04-2025"/>
    <x v="3"/>
    <n v="1707"/>
    <n v="74"/>
    <n v="270958"/>
    <n v="3.09"/>
    <n v="14090"/>
    <n v="1706.999726894943"/>
  </r>
  <r>
    <s v="28-04-2025"/>
    <x v="3"/>
    <n v="777"/>
    <n v="140"/>
    <n v="11435"/>
    <n v="1.6"/>
    <n v="6832"/>
    <n v="776.98775688675119"/>
  </r>
  <r>
    <s v="05-05-2025"/>
    <x v="3"/>
    <n v="1035"/>
    <n v="171"/>
    <n v="148477"/>
    <n v="5.21"/>
    <n v="7541"/>
    <n v="1034.9988483064717"/>
  </r>
  <r>
    <s v="12-05-2025"/>
    <x v="3"/>
    <n v="119"/>
    <n v="456"/>
    <n v="82558"/>
    <n v="6.81"/>
    <n v="12174"/>
    <n v="118.994476610383"/>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
  <r>
    <x v="0"/>
    <x v="0"/>
    <n v="1135"/>
    <n v="88"/>
    <n v="344084"/>
    <n v="8.06"/>
    <n v="5904"/>
    <n v="1047"/>
  </r>
  <r>
    <x v="0"/>
    <x v="1"/>
    <n v="1312"/>
    <n v="310"/>
    <n v="42654"/>
    <n v="4.9800000000000004"/>
    <n v="9566"/>
    <n v="1002"/>
  </r>
  <r>
    <x v="0"/>
    <x v="2"/>
    <n v="584"/>
    <n v="169"/>
    <n v="146834"/>
    <n v="8.31"/>
    <n v="26752"/>
    <n v="415"/>
  </r>
  <r>
    <x v="0"/>
    <x v="3"/>
    <n v="1535"/>
    <n v="445"/>
    <n v="395536"/>
    <n v="4.1100000000000003"/>
    <n v="30671"/>
    <n v="1090"/>
  </r>
  <r>
    <x v="1"/>
    <x v="0"/>
    <n v="656"/>
    <n v="139"/>
    <n v="49157"/>
    <n v="9.0500000000000007"/>
    <n v="9920"/>
    <n v="517"/>
  </r>
  <r>
    <x v="1"/>
    <x v="1"/>
    <n v="1697"/>
    <n v="414"/>
    <n v="316555"/>
    <n v="2.37"/>
    <n v="7924"/>
    <n v="1283"/>
  </r>
  <r>
    <x v="1"/>
    <x v="2"/>
    <n v="436"/>
    <n v="250"/>
    <n v="254347"/>
    <n v="4.01"/>
    <n v="8912"/>
    <n v="186"/>
  </r>
  <r>
    <x v="1"/>
    <x v="3"/>
    <n v="1197"/>
    <n v="203"/>
    <n v="413878"/>
    <n v="3.16"/>
    <n v="21205"/>
    <n v="994"/>
  </r>
  <r>
    <x v="2"/>
    <x v="0"/>
    <n v="1048"/>
    <n v="155"/>
    <n v="456946"/>
    <n v="2.46"/>
    <n v="11329"/>
    <n v="893"/>
  </r>
  <r>
    <x v="2"/>
    <x v="1"/>
    <n v="1753"/>
    <n v="371"/>
    <n v="169496"/>
    <n v="8.11"/>
    <n v="46670"/>
    <n v="1382"/>
  </r>
  <r>
    <x v="2"/>
    <x v="2"/>
    <n v="1335"/>
    <n v="40"/>
    <n v="122732"/>
    <n v="8.19"/>
    <n v="22482"/>
    <n v="1295"/>
  </r>
  <r>
    <x v="2"/>
    <x v="3"/>
    <n v="403"/>
    <n v="66"/>
    <n v="382851"/>
    <n v="3.49"/>
    <n v="24313"/>
    <n v="337"/>
  </r>
  <r>
    <x v="3"/>
    <x v="0"/>
    <n v="911"/>
    <n v="282"/>
    <n v="35664"/>
    <n v="6.92"/>
    <n v="18050"/>
    <n v="629"/>
  </r>
  <r>
    <x v="3"/>
    <x v="1"/>
    <n v="1779"/>
    <n v="109"/>
    <n v="26295"/>
    <n v="9.1199999999999992"/>
    <n v="30635"/>
    <n v="1670"/>
  </r>
  <r>
    <x v="3"/>
    <x v="2"/>
    <n v="1238"/>
    <n v="403"/>
    <n v="298421"/>
    <n v="3.5"/>
    <n v="31280"/>
    <n v="835"/>
  </r>
  <r>
    <x v="3"/>
    <x v="3"/>
    <n v="308"/>
    <n v="431"/>
    <n v="426184"/>
    <n v="2.62"/>
    <n v="1783"/>
    <n v="-123"/>
  </r>
  <r>
    <x v="4"/>
    <x v="0"/>
    <n v="226"/>
    <n v="445"/>
    <n v="419447"/>
    <n v="9.36"/>
    <n v="9566"/>
    <n v="-219"/>
  </r>
  <r>
    <x v="4"/>
    <x v="1"/>
    <n v="505"/>
    <n v="441"/>
    <n v="220020"/>
    <n v="4.4800000000000004"/>
    <n v="42307"/>
    <n v="64"/>
  </r>
  <r>
    <x v="4"/>
    <x v="2"/>
    <n v="1420"/>
    <n v="63"/>
    <n v="315305"/>
    <n v="6.19"/>
    <n v="5914"/>
    <n v="1357"/>
  </r>
  <r>
    <x v="4"/>
    <x v="3"/>
    <n v="144"/>
    <n v="53"/>
    <n v="113678"/>
    <n v="8.7200000000000006"/>
    <n v="30060"/>
    <n v="91"/>
  </r>
  <r>
    <x v="5"/>
    <x v="0"/>
    <n v="1757"/>
    <n v="85"/>
    <n v="58223"/>
    <n v="8.74"/>
    <n v="22728"/>
    <n v="1672"/>
  </r>
  <r>
    <x v="5"/>
    <x v="1"/>
    <n v="350"/>
    <n v="41"/>
    <n v="251694"/>
    <n v="1.91"/>
    <n v="38610"/>
    <n v="309"/>
  </r>
  <r>
    <x v="5"/>
    <x v="2"/>
    <n v="987"/>
    <n v="440"/>
    <n v="389810"/>
    <n v="4.66"/>
    <n v="2932"/>
    <n v="547"/>
  </r>
  <r>
    <x v="5"/>
    <x v="3"/>
    <n v="883"/>
    <n v="369"/>
    <n v="233694"/>
    <n v="2.88"/>
    <n v="15071"/>
    <n v="514"/>
  </r>
  <r>
    <x v="6"/>
    <x v="0"/>
    <n v="1960"/>
    <n v="115"/>
    <n v="154169"/>
    <n v="3.74"/>
    <n v="10740"/>
    <n v="1845"/>
  </r>
  <r>
    <x v="6"/>
    <x v="1"/>
    <n v="170"/>
    <n v="334"/>
    <n v="334626"/>
    <n v="6.44"/>
    <n v="43420"/>
    <n v="-164"/>
  </r>
  <r>
    <x v="6"/>
    <x v="2"/>
    <n v="704"/>
    <n v="275"/>
    <n v="226002"/>
    <n v="8.56"/>
    <n v="32393"/>
    <n v="429"/>
  </r>
  <r>
    <x v="6"/>
    <x v="3"/>
    <n v="224"/>
    <n v="64"/>
    <n v="156683"/>
    <n v="4.5599999999999996"/>
    <n v="28474"/>
    <n v="160"/>
  </r>
  <r>
    <x v="7"/>
    <x v="0"/>
    <n v="508"/>
    <n v="349"/>
    <n v="473812"/>
    <n v="7.88"/>
    <n v="17328"/>
    <n v="159"/>
  </r>
  <r>
    <x v="7"/>
    <x v="1"/>
    <n v="1391"/>
    <n v="430"/>
    <n v="295032"/>
    <n v="7.86"/>
    <n v="26067"/>
    <n v="961"/>
  </r>
  <r>
    <x v="7"/>
    <x v="2"/>
    <n v="1701"/>
    <n v="385"/>
    <n v="198278"/>
    <n v="5.34"/>
    <n v="32763"/>
    <n v="1316"/>
  </r>
  <r>
    <x v="7"/>
    <x v="3"/>
    <n v="804"/>
    <n v="487"/>
    <n v="306564"/>
    <n v="5.52"/>
    <n v="26452"/>
    <n v="317"/>
  </r>
  <r>
    <x v="8"/>
    <x v="0"/>
    <n v="653"/>
    <n v="112"/>
    <n v="23664"/>
    <n v="4.05"/>
    <n v="15353"/>
    <n v="541"/>
  </r>
  <r>
    <x v="8"/>
    <x v="1"/>
    <n v="160"/>
    <n v="478"/>
    <n v="435034"/>
    <n v="7.73"/>
    <n v="4839"/>
    <n v="-318"/>
  </r>
  <r>
    <x v="8"/>
    <x v="2"/>
    <n v="1756"/>
    <n v="261"/>
    <n v="287574"/>
    <n v="4.3600000000000003"/>
    <n v="39272"/>
    <n v="1495"/>
  </r>
  <r>
    <x v="8"/>
    <x v="3"/>
    <n v="576"/>
    <n v="101"/>
    <n v="62499"/>
    <n v="3.48"/>
    <n v="16804"/>
    <n v="475"/>
  </r>
  <r>
    <x v="9"/>
    <x v="0"/>
    <n v="645"/>
    <n v="293"/>
    <n v="437968"/>
    <n v="7.83"/>
    <n v="49303"/>
    <n v="352"/>
  </r>
  <r>
    <x v="9"/>
    <x v="1"/>
    <n v="214"/>
    <n v="411"/>
    <n v="125034"/>
    <n v="6.11"/>
    <n v="26455"/>
    <n v="-197"/>
  </r>
  <r>
    <x v="9"/>
    <x v="2"/>
    <n v="826"/>
    <n v="498"/>
    <n v="449994"/>
    <n v="9.43"/>
    <n v="12384"/>
    <n v="328"/>
  </r>
  <r>
    <x v="9"/>
    <x v="3"/>
    <n v="460"/>
    <n v="141"/>
    <n v="320650"/>
    <n v="4.04"/>
    <n v="49372"/>
    <n v="319"/>
  </r>
  <r>
    <x v="10"/>
    <x v="0"/>
    <n v="1528"/>
    <n v="203"/>
    <n v="489188"/>
    <n v="6.23"/>
    <n v="47101"/>
    <n v="1325"/>
  </r>
  <r>
    <x v="10"/>
    <x v="1"/>
    <n v="1534"/>
    <n v="200"/>
    <n v="307612"/>
    <n v="6.01"/>
    <n v="37903"/>
    <n v="1334"/>
  </r>
  <r>
    <x v="10"/>
    <x v="2"/>
    <n v="485"/>
    <n v="448"/>
    <n v="434883"/>
    <n v="8.5500000000000007"/>
    <n v="33258"/>
    <n v="37"/>
  </r>
  <r>
    <x v="10"/>
    <x v="3"/>
    <n v="1210"/>
    <n v="178"/>
    <n v="102042"/>
    <n v="5.42"/>
    <n v="6915"/>
    <n v="1032"/>
  </r>
  <r>
    <x v="11"/>
    <x v="0"/>
    <n v="215"/>
    <n v="139"/>
    <n v="325444"/>
    <n v="3.25"/>
    <n v="35501"/>
    <n v="76"/>
  </r>
  <r>
    <x v="11"/>
    <x v="1"/>
    <n v="1078"/>
    <n v="20"/>
    <n v="183924"/>
    <n v="8.84"/>
    <n v="14203"/>
    <n v="1058"/>
  </r>
  <r>
    <x v="11"/>
    <x v="2"/>
    <n v="1751"/>
    <n v="86"/>
    <n v="188655"/>
    <n v="7.24"/>
    <n v="22206"/>
    <n v="1665"/>
  </r>
  <r>
    <x v="11"/>
    <x v="3"/>
    <n v="221"/>
    <n v="31"/>
    <n v="87443"/>
    <n v="6.19"/>
    <n v="10283"/>
    <n v="190"/>
  </r>
  <r>
    <x v="12"/>
    <x v="0"/>
    <n v="1685"/>
    <n v="76"/>
    <n v="453799"/>
    <n v="5.71"/>
    <n v="24913"/>
    <n v="1609"/>
  </r>
  <r>
    <x v="12"/>
    <x v="1"/>
    <n v="248"/>
    <n v="211"/>
    <n v="379380"/>
    <n v="9.0399999999999991"/>
    <n v="26925"/>
    <n v="37"/>
  </r>
  <r>
    <x v="12"/>
    <x v="2"/>
    <n v="1300"/>
    <n v="71"/>
    <n v="186454"/>
    <n v="3.91"/>
    <n v="9942"/>
    <n v="1229"/>
  </r>
  <r>
    <x v="12"/>
    <x v="3"/>
    <n v="422"/>
    <n v="394"/>
    <n v="239044"/>
    <n v="7.83"/>
    <n v="32929"/>
    <n v="28"/>
  </r>
  <r>
    <x v="13"/>
    <x v="0"/>
    <n v="1429"/>
    <n v="182"/>
    <n v="101332"/>
    <n v="7.16"/>
    <n v="37829"/>
    <n v="1247"/>
  </r>
  <r>
    <x v="13"/>
    <x v="1"/>
    <n v="1520"/>
    <n v="475"/>
    <n v="496982"/>
    <n v="6.41"/>
    <n v="24384"/>
    <n v="1045"/>
  </r>
  <r>
    <x v="13"/>
    <x v="2"/>
    <n v="557"/>
    <n v="360"/>
    <n v="318779"/>
    <n v="8.02"/>
    <n v="25797"/>
    <n v="197"/>
  </r>
  <r>
    <x v="13"/>
    <x v="3"/>
    <n v="728"/>
    <n v="395"/>
    <n v="370971"/>
    <n v="3.86"/>
    <n v="12646"/>
    <n v="333"/>
  </r>
  <r>
    <x v="14"/>
    <x v="0"/>
    <n v="1592"/>
    <n v="20"/>
    <n v="378054"/>
    <n v="9.09"/>
    <n v="26663"/>
    <n v="1572"/>
  </r>
  <r>
    <x v="14"/>
    <x v="1"/>
    <n v="1842"/>
    <n v="414"/>
    <n v="307524"/>
    <n v="1.76"/>
    <n v="40478"/>
    <n v="1428"/>
  </r>
  <r>
    <x v="14"/>
    <x v="2"/>
    <n v="751"/>
    <n v="491"/>
    <n v="434047"/>
    <n v="9.24"/>
    <n v="15476"/>
    <n v="260"/>
  </r>
  <r>
    <x v="14"/>
    <x v="3"/>
    <n v="1409"/>
    <n v="309"/>
    <n v="64583"/>
    <n v="8.99"/>
    <n v="10217"/>
    <n v="1100"/>
  </r>
  <r>
    <x v="15"/>
    <x v="0"/>
    <n v="778"/>
    <n v="401"/>
    <n v="50793"/>
    <n v="3.4"/>
    <n v="21939"/>
    <n v="377"/>
  </r>
  <r>
    <x v="15"/>
    <x v="1"/>
    <n v="443"/>
    <n v="345"/>
    <n v="474162"/>
    <n v="9.1999999999999993"/>
    <n v="47462"/>
    <n v="98"/>
  </r>
  <r>
    <x v="15"/>
    <x v="2"/>
    <n v="1472"/>
    <n v="347"/>
    <n v="392355"/>
    <n v="8.59"/>
    <n v="30270"/>
    <n v="1125"/>
  </r>
  <r>
    <x v="15"/>
    <x v="3"/>
    <n v="123"/>
    <n v="155"/>
    <n v="119934"/>
    <n v="3.5"/>
    <n v="5442"/>
    <n v="-32"/>
  </r>
  <r>
    <x v="16"/>
    <x v="0"/>
    <n v="817"/>
    <n v="151"/>
    <n v="422625"/>
    <n v="2.36"/>
    <n v="1083"/>
    <n v="666"/>
  </r>
  <r>
    <x v="16"/>
    <x v="1"/>
    <n v="198"/>
    <n v="217"/>
    <n v="239753"/>
    <n v="7.36"/>
    <n v="11901"/>
    <n v="-19"/>
  </r>
  <r>
    <x v="16"/>
    <x v="2"/>
    <n v="1911"/>
    <n v="231"/>
    <n v="268516"/>
    <n v="8.5500000000000007"/>
    <n v="24018"/>
    <n v="1680"/>
  </r>
  <r>
    <x v="16"/>
    <x v="3"/>
    <n v="1218"/>
    <n v="212"/>
    <n v="63177"/>
    <n v="8.1300000000000008"/>
    <n v="38883"/>
    <n v="1006"/>
  </r>
  <r>
    <x v="17"/>
    <x v="0"/>
    <n v="1433"/>
    <n v="408"/>
    <n v="370269"/>
    <n v="3.3"/>
    <n v="30575"/>
    <n v="1025"/>
  </r>
  <r>
    <x v="17"/>
    <x v="1"/>
    <n v="250"/>
    <n v="429"/>
    <n v="453423"/>
    <n v="1.77"/>
    <n v="2315"/>
    <n v="-179"/>
  </r>
  <r>
    <x v="17"/>
    <x v="2"/>
    <n v="752"/>
    <n v="153"/>
    <n v="64906"/>
    <n v="2.09"/>
    <n v="12148"/>
    <n v="599"/>
  </r>
  <r>
    <x v="17"/>
    <x v="3"/>
    <n v="1918"/>
    <n v="212"/>
    <n v="94360"/>
    <n v="7.36"/>
    <n v="36851"/>
    <n v="1706"/>
  </r>
  <r>
    <x v="18"/>
    <x v="0"/>
    <n v="1939"/>
    <n v="67"/>
    <n v="187183"/>
    <n v="6.25"/>
    <n v="41215"/>
    <n v="1872"/>
  </r>
  <r>
    <x v="18"/>
    <x v="1"/>
    <n v="1929"/>
    <n v="267"/>
    <n v="379363"/>
    <n v="1.75"/>
    <n v="43836"/>
    <n v="1662"/>
  </r>
  <r>
    <x v="18"/>
    <x v="2"/>
    <n v="437"/>
    <n v="330"/>
    <n v="476486"/>
    <n v="4.97"/>
    <n v="4509"/>
    <n v="107"/>
  </r>
  <r>
    <x v="18"/>
    <x v="3"/>
    <n v="307"/>
    <n v="189"/>
    <n v="117767"/>
    <n v="9.3000000000000007"/>
    <n v="27822"/>
    <n v="118"/>
  </r>
  <r>
    <x v="19"/>
    <x v="0"/>
    <n v="1527"/>
    <n v="303"/>
    <n v="388555"/>
    <n v="8.9"/>
    <n v="36397"/>
    <n v="1224"/>
  </r>
  <r>
    <x v="19"/>
    <x v="1"/>
    <n v="643"/>
    <n v="358"/>
    <n v="157599"/>
    <n v="3.88"/>
    <n v="7285"/>
    <n v="285"/>
  </r>
  <r>
    <x v="19"/>
    <x v="2"/>
    <n v="201"/>
    <n v="221"/>
    <n v="309772"/>
    <n v="5.9"/>
    <n v="33174"/>
    <n v="-20"/>
  </r>
  <r>
    <x v="19"/>
    <x v="3"/>
    <n v="414"/>
    <n v="47"/>
    <n v="199178"/>
    <n v="1.53"/>
    <n v="6742"/>
    <n v="367"/>
  </r>
  <r>
    <x v="20"/>
    <x v="0"/>
    <n v="703"/>
    <n v="441"/>
    <n v="357089"/>
    <n v="6.5"/>
    <n v="32478"/>
    <n v="262"/>
  </r>
  <r>
    <x v="20"/>
    <x v="1"/>
    <n v="508"/>
    <n v="69"/>
    <n v="23492"/>
    <n v="3.16"/>
    <n v="42824"/>
    <n v="439"/>
  </r>
  <r>
    <x v="20"/>
    <x v="2"/>
    <n v="697"/>
    <n v="61"/>
    <n v="258287"/>
    <n v="8.25"/>
    <n v="21208"/>
    <n v="636"/>
  </r>
  <r>
    <x v="20"/>
    <x v="3"/>
    <n v="1707"/>
    <n v="223"/>
    <n v="256910"/>
    <n v="5.41"/>
    <n v="44321"/>
    <n v="1484"/>
  </r>
  <r>
    <x v="21"/>
    <x v="0"/>
    <n v="642"/>
    <n v="66"/>
    <n v="346522"/>
    <n v="5.85"/>
    <n v="13116"/>
    <n v="576"/>
  </r>
  <r>
    <x v="21"/>
    <x v="1"/>
    <n v="859"/>
    <n v="473"/>
    <n v="209987"/>
    <n v="4.46"/>
    <n v="30214"/>
    <n v="386"/>
  </r>
  <r>
    <x v="21"/>
    <x v="2"/>
    <n v="191"/>
    <n v="154"/>
    <n v="240550"/>
    <n v="5.22"/>
    <n v="15827"/>
    <n v="37"/>
  </r>
  <r>
    <x v="21"/>
    <x v="3"/>
    <n v="1814"/>
    <n v="157"/>
    <n v="305827"/>
    <n v="1.99"/>
    <n v="46643"/>
    <n v="1657"/>
  </r>
  <r>
    <x v="22"/>
    <x v="0"/>
    <n v="1466"/>
    <n v="69"/>
    <n v="54935"/>
    <n v="6.85"/>
    <n v="36484"/>
    <n v="1397"/>
  </r>
  <r>
    <x v="22"/>
    <x v="1"/>
    <n v="947"/>
    <n v="407"/>
    <n v="319186"/>
    <n v="3.32"/>
    <n v="4996"/>
    <n v="540"/>
  </r>
  <r>
    <x v="22"/>
    <x v="2"/>
    <n v="1821"/>
    <n v="218"/>
    <n v="439080"/>
    <n v="5.68"/>
    <n v="36095"/>
    <n v="1603"/>
  </r>
  <r>
    <x v="22"/>
    <x v="3"/>
    <n v="1507"/>
    <n v="463"/>
    <n v="258944"/>
    <n v="6.08"/>
    <n v="16443"/>
    <n v="1044"/>
  </r>
  <r>
    <x v="23"/>
    <x v="0"/>
    <n v="1075"/>
    <n v="173"/>
    <n v="51395"/>
    <n v="4.66"/>
    <n v="47812"/>
    <n v="902"/>
  </r>
  <r>
    <x v="23"/>
    <x v="1"/>
    <n v="171"/>
    <n v="277"/>
    <n v="309483"/>
    <n v="8.6999999999999993"/>
    <n v="38452"/>
    <n v="-106"/>
  </r>
  <r>
    <x v="23"/>
    <x v="2"/>
    <n v="1487"/>
    <n v="337"/>
    <n v="87305"/>
    <n v="2.46"/>
    <n v="30428"/>
    <n v="1150"/>
  </r>
  <r>
    <x v="23"/>
    <x v="3"/>
    <n v="454"/>
    <n v="105"/>
    <n v="121091"/>
    <n v="7.97"/>
    <n v="9269"/>
    <n v="349"/>
  </r>
  <r>
    <x v="24"/>
    <x v="0"/>
    <n v="187"/>
    <n v="236"/>
    <n v="51087"/>
    <n v="9.41"/>
    <n v="29533"/>
    <n v="-49"/>
  </r>
  <r>
    <x v="24"/>
    <x v="1"/>
    <n v="513"/>
    <n v="441"/>
    <n v="338847"/>
    <n v="2.68"/>
    <n v="39997"/>
    <n v="72"/>
  </r>
  <r>
    <x v="24"/>
    <x v="2"/>
    <n v="628"/>
    <n v="183"/>
    <n v="487523"/>
    <n v="7.32"/>
    <n v="5391"/>
    <n v="445"/>
  </r>
  <r>
    <x v="24"/>
    <x v="3"/>
    <n v="278"/>
    <n v="218"/>
    <n v="301695"/>
    <n v="4.68"/>
    <n v="22373"/>
    <n v="60"/>
  </r>
  <r>
    <x v="25"/>
    <x v="0"/>
    <n v="1854"/>
    <n v="161"/>
    <n v="282466"/>
    <n v="5.17"/>
    <n v="1810"/>
    <n v="1693"/>
  </r>
  <r>
    <x v="25"/>
    <x v="1"/>
    <n v="1710"/>
    <n v="378"/>
    <n v="336661"/>
    <n v="6.2"/>
    <n v="28498"/>
    <n v="1332"/>
  </r>
  <r>
    <x v="25"/>
    <x v="2"/>
    <n v="330"/>
    <n v="232"/>
    <n v="88455"/>
    <n v="2.69"/>
    <n v="39530"/>
    <n v="98"/>
  </r>
  <r>
    <x v="25"/>
    <x v="3"/>
    <n v="1293"/>
    <n v="408"/>
    <n v="62535"/>
    <n v="8.9"/>
    <n v="37876"/>
    <n v="885"/>
  </r>
  <r>
    <x v="26"/>
    <x v="0"/>
    <n v="1696"/>
    <n v="71"/>
    <n v="421957"/>
    <n v="3.79"/>
    <n v="36103"/>
    <n v="1625"/>
  </r>
  <r>
    <x v="26"/>
    <x v="1"/>
    <n v="1902"/>
    <n v="196"/>
    <n v="470269"/>
    <n v="4.79"/>
    <n v="26103"/>
    <n v="1706"/>
  </r>
  <r>
    <x v="26"/>
    <x v="2"/>
    <n v="1441"/>
    <n v="268"/>
    <n v="309904"/>
    <n v="6.37"/>
    <n v="3455"/>
    <n v="1173"/>
  </r>
  <r>
    <x v="26"/>
    <x v="3"/>
    <n v="452"/>
    <n v="161"/>
    <n v="221274"/>
    <n v="2.65"/>
    <n v="40888"/>
    <n v="291"/>
  </r>
  <r>
    <x v="27"/>
    <x v="0"/>
    <n v="1494"/>
    <n v="375"/>
    <n v="220616"/>
    <n v="1.81"/>
    <n v="22724"/>
    <n v="1119"/>
  </r>
  <r>
    <x v="27"/>
    <x v="1"/>
    <n v="1514"/>
    <n v="141"/>
    <n v="35842"/>
    <n v="7.47"/>
    <n v="18601"/>
    <n v="1373"/>
  </r>
  <r>
    <x v="27"/>
    <x v="2"/>
    <n v="1937"/>
    <n v="210"/>
    <n v="20607"/>
    <n v="4.2"/>
    <n v="20861"/>
    <n v="1727"/>
  </r>
  <r>
    <x v="27"/>
    <x v="3"/>
    <n v="736"/>
    <n v="163"/>
    <n v="451894"/>
    <n v="5.43"/>
    <n v="46625"/>
    <n v="573"/>
  </r>
  <r>
    <x v="28"/>
    <x v="0"/>
    <n v="1502"/>
    <n v="70"/>
    <n v="465553"/>
    <n v="3.32"/>
    <n v="20692"/>
    <n v="1432"/>
  </r>
  <r>
    <x v="28"/>
    <x v="1"/>
    <n v="1623"/>
    <n v="246"/>
    <n v="415815"/>
    <n v="8.11"/>
    <n v="18656"/>
    <n v="1377"/>
  </r>
  <r>
    <x v="28"/>
    <x v="2"/>
    <n v="1592"/>
    <n v="233"/>
    <n v="327183"/>
    <n v="6.66"/>
    <n v="13316"/>
    <n v="1359"/>
  </r>
  <r>
    <x v="28"/>
    <x v="3"/>
    <n v="1004"/>
    <n v="128"/>
    <n v="488901"/>
    <n v="8.09"/>
    <n v="49558"/>
    <n v="876"/>
  </r>
  <r>
    <x v="29"/>
    <x v="0"/>
    <n v="1092"/>
    <n v="408"/>
    <n v="280795"/>
    <n v="8.44"/>
    <n v="4683"/>
    <n v="684"/>
  </r>
  <r>
    <x v="29"/>
    <x v="1"/>
    <n v="1155"/>
    <n v="425"/>
    <n v="93347"/>
    <n v="2.02"/>
    <n v="47502"/>
    <n v="730"/>
  </r>
  <r>
    <x v="29"/>
    <x v="2"/>
    <n v="1137"/>
    <n v="226"/>
    <n v="81119"/>
    <n v="7.74"/>
    <n v="35359"/>
    <n v="911"/>
  </r>
  <r>
    <x v="29"/>
    <x v="3"/>
    <n v="1900"/>
    <n v="311"/>
    <n v="25177"/>
    <n v="2.89"/>
    <n v="14154"/>
    <n v="1589"/>
  </r>
  <r>
    <x v="30"/>
    <x v="0"/>
    <n v="1814"/>
    <n v="49"/>
    <n v="140804"/>
    <n v="1.76"/>
    <n v="4313"/>
    <n v="1765"/>
  </r>
  <r>
    <x v="30"/>
    <x v="1"/>
    <n v="1980"/>
    <n v="204"/>
    <n v="379431"/>
    <n v="3.09"/>
    <n v="25140"/>
    <n v="1776"/>
  </r>
  <r>
    <x v="30"/>
    <x v="2"/>
    <n v="1786"/>
    <n v="257"/>
    <n v="274831"/>
    <n v="4.68"/>
    <n v="9118"/>
    <n v="1529"/>
  </r>
  <r>
    <x v="30"/>
    <x v="3"/>
    <n v="1495"/>
    <n v="35"/>
    <n v="136845"/>
    <n v="4.4800000000000004"/>
    <n v="39931"/>
    <n v="1460"/>
  </r>
  <r>
    <x v="31"/>
    <x v="0"/>
    <n v="1013"/>
    <n v="110"/>
    <n v="466382"/>
    <n v="5.3"/>
    <n v="37132"/>
    <n v="903"/>
  </r>
  <r>
    <x v="31"/>
    <x v="1"/>
    <n v="816"/>
    <n v="196"/>
    <n v="95728"/>
    <n v="8.1999999999999993"/>
    <n v="17951"/>
    <n v="620"/>
  </r>
  <r>
    <x v="31"/>
    <x v="2"/>
    <n v="1633"/>
    <n v="445"/>
    <n v="371156"/>
    <n v="2.2200000000000002"/>
    <n v="2798"/>
    <n v="1188"/>
  </r>
  <r>
    <x v="31"/>
    <x v="3"/>
    <n v="891"/>
    <n v="45"/>
    <n v="95410"/>
    <n v="8.33"/>
    <n v="15045"/>
    <n v="846"/>
  </r>
  <r>
    <x v="32"/>
    <x v="0"/>
    <n v="1855"/>
    <n v="133"/>
    <n v="349413"/>
    <n v="3.3"/>
    <n v="14548"/>
    <n v="1722"/>
  </r>
  <r>
    <x v="32"/>
    <x v="1"/>
    <n v="651"/>
    <n v="353"/>
    <n v="224699"/>
    <n v="5.61"/>
    <n v="45708"/>
    <n v="298"/>
  </r>
  <r>
    <x v="32"/>
    <x v="2"/>
    <n v="118"/>
    <n v="262"/>
    <n v="487896"/>
    <n v="2.56"/>
    <n v="12350"/>
    <n v="-144"/>
  </r>
  <r>
    <x v="32"/>
    <x v="3"/>
    <n v="1331"/>
    <n v="430"/>
    <n v="14437"/>
    <n v="3.29"/>
    <n v="40868"/>
    <n v="901"/>
  </r>
  <r>
    <x v="33"/>
    <x v="0"/>
    <n v="1748"/>
    <n v="176"/>
    <n v="383681"/>
    <n v="9.24"/>
    <n v="43122"/>
    <n v="1572"/>
  </r>
  <r>
    <x v="33"/>
    <x v="1"/>
    <n v="663"/>
    <n v="236"/>
    <n v="479490"/>
    <n v="4.51"/>
    <n v="23853"/>
    <n v="427"/>
  </r>
  <r>
    <x v="33"/>
    <x v="2"/>
    <n v="1040"/>
    <n v="149"/>
    <n v="124404"/>
    <n v="5.23"/>
    <n v="45380"/>
    <n v="891"/>
  </r>
  <r>
    <x v="33"/>
    <x v="3"/>
    <n v="1166"/>
    <n v="442"/>
    <n v="336949"/>
    <n v="4.68"/>
    <n v="7705"/>
    <n v="724"/>
  </r>
  <r>
    <x v="34"/>
    <x v="0"/>
    <n v="115"/>
    <n v="281"/>
    <n v="357265"/>
    <n v="9.23"/>
    <n v="25525"/>
    <n v="-166"/>
  </r>
  <r>
    <x v="34"/>
    <x v="1"/>
    <n v="1249"/>
    <n v="351"/>
    <n v="321307"/>
    <n v="6.37"/>
    <n v="20560"/>
    <n v="898"/>
  </r>
  <r>
    <x v="34"/>
    <x v="2"/>
    <n v="1501"/>
    <n v="75"/>
    <n v="262569"/>
    <n v="2.0099999999999998"/>
    <n v="19119"/>
    <n v="1426"/>
  </r>
  <r>
    <x v="34"/>
    <x v="3"/>
    <n v="1411"/>
    <n v="186"/>
    <n v="461669"/>
    <n v="3.72"/>
    <n v="43999"/>
    <n v="1225"/>
  </r>
  <r>
    <x v="35"/>
    <x v="0"/>
    <n v="1556"/>
    <n v="476"/>
    <n v="351556"/>
    <n v="3.89"/>
    <n v="10825"/>
    <n v="1080"/>
  </r>
  <r>
    <x v="35"/>
    <x v="1"/>
    <n v="1159"/>
    <n v="411"/>
    <n v="135987"/>
    <n v="8.6999999999999993"/>
    <n v="40323"/>
    <n v="748"/>
  </r>
  <r>
    <x v="35"/>
    <x v="2"/>
    <n v="927"/>
    <n v="358"/>
    <n v="177554"/>
    <n v="6.95"/>
    <n v="48270"/>
    <n v="569"/>
  </r>
  <r>
    <x v="35"/>
    <x v="3"/>
    <n v="152"/>
    <n v="355"/>
    <n v="270766"/>
    <n v="9.48"/>
    <n v="18001"/>
    <n v="-203"/>
  </r>
  <r>
    <x v="36"/>
    <x v="0"/>
    <n v="1957"/>
    <n v="234"/>
    <n v="222126"/>
    <n v="4.6100000000000003"/>
    <n v="3314"/>
    <n v="1723"/>
  </r>
  <r>
    <x v="36"/>
    <x v="1"/>
    <n v="1294"/>
    <n v="382"/>
    <n v="309914"/>
    <n v="8.0299999999999994"/>
    <n v="23489"/>
    <n v="912"/>
  </r>
  <r>
    <x v="36"/>
    <x v="2"/>
    <n v="1587"/>
    <n v="385"/>
    <n v="126582"/>
    <n v="6.99"/>
    <n v="42832"/>
    <n v="1202"/>
  </r>
  <r>
    <x v="36"/>
    <x v="3"/>
    <n v="1707"/>
    <n v="263"/>
    <n v="485280"/>
    <n v="9.0299999999999994"/>
    <n v="24494"/>
    <n v="1444"/>
  </r>
  <r>
    <x v="37"/>
    <x v="0"/>
    <n v="1138"/>
    <n v="173"/>
    <n v="453243"/>
    <n v="2.86"/>
    <n v="44097"/>
    <n v="965"/>
  </r>
  <r>
    <x v="37"/>
    <x v="1"/>
    <n v="1895"/>
    <n v="305"/>
    <n v="104967"/>
    <n v="3.85"/>
    <n v="31853"/>
    <n v="1590"/>
  </r>
  <r>
    <x v="37"/>
    <x v="2"/>
    <n v="362"/>
    <n v="399"/>
    <n v="145608"/>
    <n v="7.3"/>
    <n v="37636"/>
    <n v="-37"/>
  </r>
  <r>
    <x v="37"/>
    <x v="3"/>
    <n v="1662"/>
    <n v="487"/>
    <n v="105980"/>
    <n v="9.08"/>
    <n v="22996"/>
    <n v="1175"/>
  </r>
  <r>
    <x v="38"/>
    <x v="0"/>
    <n v="1440"/>
    <n v="65"/>
    <n v="126524"/>
    <n v="4.34"/>
    <n v="49772"/>
    <n v="1375"/>
  </r>
  <r>
    <x v="38"/>
    <x v="1"/>
    <n v="1884"/>
    <n v="177"/>
    <n v="230448"/>
    <n v="7.8"/>
    <n v="22713"/>
    <n v="1707"/>
  </r>
  <r>
    <x v="38"/>
    <x v="2"/>
    <n v="861"/>
    <n v="153"/>
    <n v="317007"/>
    <n v="3.85"/>
    <n v="8718"/>
    <n v="708"/>
  </r>
  <r>
    <x v="38"/>
    <x v="3"/>
    <n v="1063"/>
    <n v="47"/>
    <n v="464239"/>
    <n v="6.58"/>
    <n v="39031"/>
    <n v="1016"/>
  </r>
  <r>
    <x v="39"/>
    <x v="0"/>
    <n v="1371"/>
    <n v="56"/>
    <n v="257579"/>
    <n v="8.6199999999999992"/>
    <n v="33799"/>
    <n v="1315"/>
  </r>
  <r>
    <x v="39"/>
    <x v="1"/>
    <n v="345"/>
    <n v="464"/>
    <n v="366881"/>
    <n v="4.55"/>
    <n v="20553"/>
    <n v="-119"/>
  </r>
  <r>
    <x v="39"/>
    <x v="2"/>
    <n v="946"/>
    <n v="47"/>
    <n v="466575"/>
    <n v="8.33"/>
    <n v="10002"/>
    <n v="899"/>
  </r>
  <r>
    <x v="39"/>
    <x v="3"/>
    <n v="510"/>
    <n v="195"/>
    <n v="224534"/>
    <n v="9.4"/>
    <n v="30987"/>
    <n v="315"/>
  </r>
  <r>
    <x v="40"/>
    <x v="0"/>
    <n v="393"/>
    <n v="181"/>
    <n v="462142"/>
    <n v="7.23"/>
    <n v="6296"/>
    <n v="212"/>
  </r>
  <r>
    <x v="40"/>
    <x v="1"/>
    <n v="1098"/>
    <n v="190"/>
    <n v="340842"/>
    <n v="9.39"/>
    <n v="21539"/>
    <n v="908"/>
  </r>
  <r>
    <x v="40"/>
    <x v="2"/>
    <n v="1399"/>
    <n v="49"/>
    <n v="12471"/>
    <n v="5.12"/>
    <n v="14722"/>
    <n v="1350"/>
  </r>
  <r>
    <x v="40"/>
    <x v="3"/>
    <n v="1658"/>
    <n v="416"/>
    <n v="98397"/>
    <n v="6.11"/>
    <n v="11383"/>
    <n v="1242"/>
  </r>
  <r>
    <x v="41"/>
    <x v="0"/>
    <n v="1102"/>
    <n v="422"/>
    <n v="410330"/>
    <n v="7.74"/>
    <n v="9480"/>
    <n v="680"/>
  </r>
  <r>
    <x v="41"/>
    <x v="1"/>
    <n v="1358"/>
    <n v="242"/>
    <n v="342129"/>
    <n v="4.9400000000000004"/>
    <n v="29116"/>
    <n v="1116"/>
  </r>
  <r>
    <x v="41"/>
    <x v="2"/>
    <n v="1077"/>
    <n v="216"/>
    <n v="12447"/>
    <n v="1.8"/>
    <n v="14068"/>
    <n v="861"/>
  </r>
  <r>
    <x v="41"/>
    <x v="3"/>
    <n v="1596"/>
    <n v="211"/>
    <n v="17380"/>
    <n v="8.64"/>
    <n v="35801"/>
    <n v="1385"/>
  </r>
  <r>
    <x v="42"/>
    <x v="0"/>
    <n v="490"/>
    <n v="29"/>
    <n v="364810"/>
    <n v="1.53"/>
    <n v="49077"/>
    <n v="461"/>
  </r>
  <r>
    <x v="42"/>
    <x v="1"/>
    <n v="609"/>
    <n v="135"/>
    <n v="373606"/>
    <n v="8.52"/>
    <n v="21453"/>
    <n v="474"/>
  </r>
  <r>
    <x v="42"/>
    <x v="2"/>
    <n v="364"/>
    <n v="72"/>
    <n v="211090"/>
    <n v="5.53"/>
    <n v="21061"/>
    <n v="292"/>
  </r>
  <r>
    <x v="42"/>
    <x v="3"/>
    <n v="442"/>
    <n v="53"/>
    <n v="441931"/>
    <n v="1.87"/>
    <n v="20059"/>
    <n v="389"/>
  </r>
  <r>
    <x v="43"/>
    <x v="0"/>
    <n v="1033"/>
    <n v="392"/>
    <n v="282780"/>
    <n v="6.27"/>
    <n v="23140"/>
    <n v="641"/>
  </r>
  <r>
    <x v="43"/>
    <x v="1"/>
    <n v="988"/>
    <n v="474"/>
    <n v="370070"/>
    <n v="9.4600000000000009"/>
    <n v="23461"/>
    <n v="514"/>
  </r>
  <r>
    <x v="43"/>
    <x v="2"/>
    <n v="1946"/>
    <n v="270"/>
    <n v="198350"/>
    <n v="7.5"/>
    <n v="11805"/>
    <n v="1676"/>
  </r>
  <r>
    <x v="43"/>
    <x v="3"/>
    <n v="1957"/>
    <n v="490"/>
    <n v="435726"/>
    <n v="4.7300000000000004"/>
    <n v="15969"/>
    <n v="1467"/>
  </r>
  <r>
    <x v="44"/>
    <x v="0"/>
    <n v="559"/>
    <n v="392"/>
    <n v="78789"/>
    <n v="3.19"/>
    <n v="2436"/>
    <n v="167"/>
  </r>
  <r>
    <x v="44"/>
    <x v="1"/>
    <n v="1307"/>
    <n v="278"/>
    <n v="98596"/>
    <n v="2.4900000000000002"/>
    <n v="47603"/>
    <n v="1029"/>
  </r>
  <r>
    <x v="44"/>
    <x v="2"/>
    <n v="1432"/>
    <n v="425"/>
    <n v="29589"/>
    <n v="4.5"/>
    <n v="42964"/>
    <n v="1007"/>
  </r>
  <r>
    <x v="44"/>
    <x v="3"/>
    <n v="623"/>
    <n v="414"/>
    <n v="290354"/>
    <n v="6.49"/>
    <n v="39923"/>
    <n v="209"/>
  </r>
  <r>
    <x v="45"/>
    <x v="0"/>
    <n v="198"/>
    <n v="358"/>
    <n v="66682"/>
    <n v="6.73"/>
    <n v="2293"/>
    <n v="-160"/>
  </r>
  <r>
    <x v="45"/>
    <x v="1"/>
    <n v="198"/>
    <n v="373"/>
    <n v="70707"/>
    <n v="4.83"/>
    <n v="25920"/>
    <n v="-175"/>
  </r>
  <r>
    <x v="45"/>
    <x v="2"/>
    <n v="353"/>
    <n v="300"/>
    <n v="142507"/>
    <n v="5.3"/>
    <n v="11035"/>
    <n v="53"/>
  </r>
  <r>
    <x v="45"/>
    <x v="3"/>
    <n v="520"/>
    <n v="375"/>
    <n v="369525"/>
    <n v="6.54"/>
    <n v="20733"/>
    <n v="145"/>
  </r>
  <r>
    <x v="46"/>
    <x v="0"/>
    <n v="961"/>
    <n v="358"/>
    <n v="62942"/>
    <n v="6.8"/>
    <n v="18693"/>
    <n v="603"/>
  </r>
  <r>
    <x v="46"/>
    <x v="1"/>
    <n v="1375"/>
    <n v="330"/>
    <n v="377382"/>
    <n v="2.6"/>
    <n v="7875"/>
    <n v="1045"/>
  </r>
  <r>
    <x v="46"/>
    <x v="2"/>
    <n v="1147"/>
    <n v="388"/>
    <n v="333851"/>
    <n v="2.44"/>
    <n v="8471"/>
    <n v="759"/>
  </r>
  <r>
    <x v="46"/>
    <x v="3"/>
    <n v="1707"/>
    <n v="74"/>
    <n v="270958"/>
    <n v="3.09"/>
    <n v="14090"/>
    <n v="1633"/>
  </r>
  <r>
    <x v="47"/>
    <x v="0"/>
    <n v="1693"/>
    <n v="154"/>
    <n v="445944"/>
    <n v="5.69"/>
    <n v="14216"/>
    <n v="1539"/>
  </r>
  <r>
    <x v="47"/>
    <x v="1"/>
    <n v="833"/>
    <n v="380"/>
    <n v="224830"/>
    <n v="3.86"/>
    <n v="3582"/>
    <n v="453"/>
  </r>
  <r>
    <x v="47"/>
    <x v="2"/>
    <n v="1222"/>
    <n v="274"/>
    <n v="487289"/>
    <n v="3.16"/>
    <n v="32500"/>
    <n v="948"/>
  </r>
  <r>
    <x v="47"/>
    <x v="3"/>
    <n v="777"/>
    <n v="140"/>
    <n v="11435"/>
    <n v="1.6"/>
    <n v="6832"/>
    <n v="637"/>
  </r>
  <r>
    <x v="48"/>
    <x v="0"/>
    <n v="1957"/>
    <n v="76"/>
    <n v="447902"/>
    <n v="6.09"/>
    <n v="33381"/>
    <n v="1881"/>
  </r>
  <r>
    <x v="48"/>
    <x v="1"/>
    <n v="405"/>
    <n v="66"/>
    <n v="418696"/>
    <n v="5.59"/>
    <n v="48419"/>
    <n v="339"/>
  </r>
  <r>
    <x v="48"/>
    <x v="2"/>
    <n v="1581"/>
    <n v="71"/>
    <n v="484364"/>
    <n v="3.55"/>
    <n v="16149"/>
    <n v="1510"/>
  </r>
  <r>
    <x v="48"/>
    <x v="3"/>
    <n v="1035"/>
    <n v="171"/>
    <n v="148477"/>
    <n v="5.21"/>
    <n v="7541"/>
    <n v="864"/>
  </r>
  <r>
    <x v="49"/>
    <x v="0"/>
    <n v="1765"/>
    <n v="109"/>
    <n v="468301"/>
    <n v="1.82"/>
    <n v="20042"/>
    <n v="1656"/>
  </r>
  <r>
    <x v="49"/>
    <x v="1"/>
    <n v="837"/>
    <n v="430"/>
    <n v="364820"/>
    <n v="4"/>
    <n v="49400"/>
    <n v="407"/>
  </r>
  <r>
    <x v="49"/>
    <x v="2"/>
    <n v="337"/>
    <n v="68"/>
    <n v="456298"/>
    <n v="7.57"/>
    <n v="4007"/>
    <n v="269"/>
  </r>
  <r>
    <x v="49"/>
    <x v="3"/>
    <n v="119"/>
    <n v="456"/>
    <n v="82558"/>
    <n v="6.81"/>
    <n v="12174"/>
    <n v="-337"/>
  </r>
</pivotCacheRecords>
</file>

<file path=xl/pivotCache/pivotCacheRecords6.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39">
  <r>
    <n v="15"/>
    <x v="0"/>
  </r>
  <r>
    <n v="15"/>
    <x v="1"/>
  </r>
  <r>
    <n v="117"/>
    <x v="2"/>
  </r>
  <r>
    <n v="117"/>
    <x v="3"/>
  </r>
  <r>
    <n v="204"/>
    <x v="2"/>
  </r>
  <r>
    <n v="128"/>
    <x v="4"/>
  </r>
  <r>
    <n v="224"/>
    <x v="4"/>
  </r>
  <r>
    <n v="224"/>
    <x v="2"/>
  </r>
  <r>
    <n v="256"/>
    <x v="2"/>
  </r>
  <r>
    <n v="235"/>
    <x v="2"/>
  </r>
  <r>
    <n v="39"/>
    <x v="4"/>
  </r>
  <r>
    <n v="131"/>
    <x v="2"/>
  </r>
  <r>
    <n v="167"/>
    <x v="2"/>
  </r>
  <r>
    <n v="65"/>
    <x v="0"/>
  </r>
  <r>
    <n v="213"/>
    <x v="0"/>
  </r>
  <r>
    <n v="114"/>
    <x v="4"/>
  </r>
  <r>
    <n v="265"/>
    <x v="0"/>
  </r>
  <r>
    <n v="20"/>
    <x v="0"/>
  </r>
  <r>
    <n v="87"/>
    <x v="0"/>
  </r>
  <r>
    <n v="159"/>
    <x v="4"/>
  </r>
  <r>
    <n v="19"/>
    <x v="0"/>
  </r>
  <r>
    <n v="103"/>
    <x v="2"/>
  </r>
  <r>
    <n v="25"/>
    <x v="2"/>
  </r>
  <r>
    <n v="83"/>
    <x v="0"/>
  </r>
  <r>
    <n v="133"/>
    <x v="2"/>
  </r>
  <r>
    <n v="225"/>
    <x v="2"/>
  </r>
  <r>
    <n v="225"/>
    <x v="1"/>
  </r>
  <r>
    <n v="161"/>
    <x v="0"/>
  </r>
  <r>
    <n v="238"/>
    <x v="4"/>
  </r>
  <r>
    <n v="211"/>
    <x v="0"/>
  </r>
  <r>
    <n v="51"/>
    <x v="0"/>
  </r>
  <r>
    <n v="79"/>
    <x v="0"/>
  </r>
  <r>
    <n v="221"/>
    <x v="0"/>
  </r>
  <r>
    <n v="93"/>
    <x v="4"/>
  </r>
  <r>
    <n v="282"/>
    <x v="2"/>
  </r>
  <r>
    <n v="275"/>
    <x v="4"/>
  </r>
  <r>
    <n v="113"/>
    <x v="2"/>
  </r>
  <r>
    <n v="215"/>
    <x v="2"/>
  </r>
  <r>
    <n v="271"/>
    <x v="0"/>
  </r>
  <r>
    <n v="31"/>
    <x v="4"/>
  </r>
  <r>
    <n v="36"/>
    <x v="4"/>
  </r>
  <r>
    <n v="87"/>
    <x v="2"/>
  </r>
  <r>
    <n v="92"/>
    <x v="2"/>
  </r>
  <r>
    <n v="299"/>
    <x v="4"/>
  </r>
  <r>
    <n v="205"/>
    <x v="0"/>
  </r>
  <r>
    <n v="241"/>
    <x v="4"/>
  </r>
  <r>
    <n v="137"/>
    <x v="2"/>
  </r>
  <r>
    <n v="216"/>
    <x v="2"/>
  </r>
  <r>
    <n v="176"/>
    <x v="0"/>
  </r>
  <r>
    <n v="97"/>
    <x v="2"/>
  </r>
  <r>
    <n v="127"/>
    <x v="0"/>
  </r>
  <r>
    <n v="119"/>
    <x v="2"/>
  </r>
  <r>
    <n v="177"/>
    <x v="2"/>
  </r>
  <r>
    <n v="112"/>
    <x v="2"/>
  </r>
  <r>
    <n v="225"/>
    <x v="0"/>
  </r>
  <r>
    <n v="34"/>
    <x v="2"/>
  </r>
  <r>
    <n v="11"/>
    <x v="4"/>
  </r>
  <r>
    <n v="11"/>
    <x v="3"/>
  </r>
  <r>
    <n v="52"/>
    <x v="0"/>
  </r>
  <r>
    <n v="123"/>
    <x v="4"/>
  </r>
  <r>
    <n v="60"/>
    <x v="0"/>
  </r>
  <r>
    <n v="169"/>
    <x v="2"/>
  </r>
  <r>
    <n v="262"/>
    <x v="2"/>
  </r>
  <r>
    <n v="174"/>
    <x v="4"/>
  </r>
  <r>
    <n v="84"/>
    <x v="4"/>
  </r>
  <r>
    <n v="84"/>
    <x v="2"/>
  </r>
  <r>
    <n v="84"/>
    <x v="1"/>
  </r>
  <r>
    <n v="65"/>
    <x v="2"/>
  </r>
  <r>
    <n v="148"/>
    <x v="2"/>
  </r>
  <r>
    <n v="125"/>
    <x v="0"/>
  </r>
  <r>
    <n v="75"/>
    <x v="0"/>
  </r>
  <r>
    <n v="289"/>
    <x v="4"/>
  </r>
  <r>
    <n v="184"/>
    <x v="4"/>
  </r>
  <r>
    <n v="100"/>
    <x v="4"/>
  </r>
  <r>
    <n v="73"/>
    <x v="4"/>
  </r>
  <r>
    <n v="149"/>
    <x v="0"/>
  </r>
  <r>
    <n v="43"/>
    <x v="2"/>
  </r>
  <r>
    <n v="227"/>
    <x v="2"/>
  </r>
  <r>
    <n v="88"/>
    <x v="4"/>
  </r>
  <r>
    <n v="88"/>
    <x v="0"/>
  </r>
  <r>
    <n v="123"/>
    <x v="2"/>
  </r>
  <r>
    <n v="255"/>
    <x v="2"/>
  </r>
  <r>
    <n v="99"/>
    <x v="2"/>
  </r>
  <r>
    <n v="63"/>
    <x v="2"/>
  </r>
  <r>
    <n v="21"/>
    <x v="0"/>
  </r>
  <r>
    <n v="266"/>
    <x v="4"/>
  </r>
  <r>
    <n v="28"/>
    <x v="0"/>
  </r>
  <r>
    <n v="283"/>
    <x v="2"/>
  </r>
  <r>
    <n v="200"/>
    <x v="0"/>
  </r>
  <r>
    <n v="200"/>
    <x v="2"/>
  </r>
  <r>
    <n v="200"/>
    <x v="1"/>
  </r>
  <r>
    <n v="112"/>
    <x v="4"/>
  </r>
  <r>
    <n v="255"/>
    <x v="0"/>
  </r>
  <r>
    <n v="230"/>
    <x v="0"/>
  </r>
  <r>
    <n v="242"/>
    <x v="4"/>
  </r>
  <r>
    <n v="242"/>
    <x v="3"/>
  </r>
  <r>
    <n v="197"/>
    <x v="0"/>
  </r>
  <r>
    <n v="25"/>
    <x v="2"/>
  </r>
  <r>
    <n v="180"/>
    <x v="4"/>
  </r>
  <r>
    <n v="297"/>
    <x v="2"/>
  </r>
  <r>
    <n v="137"/>
    <x v="4"/>
  </r>
  <r>
    <n v="236"/>
    <x v="0"/>
  </r>
  <r>
    <n v="150"/>
    <x v="4"/>
  </r>
  <r>
    <n v="46"/>
    <x v="0"/>
  </r>
  <r>
    <n v="163"/>
    <x v="0"/>
  </r>
  <r>
    <n v="123"/>
    <x v="0"/>
  </r>
  <r>
    <n v="36"/>
    <x v="2"/>
  </r>
  <r>
    <n v="36"/>
    <x v="1"/>
  </r>
  <r>
    <n v="17"/>
    <x v="0"/>
  </r>
  <r>
    <n v="173"/>
    <x v="0"/>
  </r>
  <r>
    <n v="52"/>
    <x v="4"/>
  </r>
  <r>
    <n v="12"/>
    <x v="0"/>
  </r>
  <r>
    <n v="223"/>
    <x v="4"/>
  </r>
  <r>
    <n v="212"/>
    <x v="4"/>
  </r>
  <r>
    <n v="199"/>
    <x v="2"/>
  </r>
  <r>
    <n v="32"/>
    <x v="0"/>
  </r>
  <r>
    <n v="298"/>
    <x v="2"/>
  </r>
  <r>
    <n v="182"/>
    <x v="2"/>
  </r>
  <r>
    <n v="209"/>
    <x v="2"/>
  </r>
  <r>
    <n v="167"/>
    <x v="0"/>
  </r>
  <r>
    <n v="270"/>
    <x v="4"/>
  </r>
  <r>
    <n v="40"/>
    <x v="2"/>
  </r>
  <r>
    <n v="297"/>
    <x v="0"/>
  </r>
  <r>
    <n v="10"/>
    <x v="4"/>
  </r>
  <r>
    <n v="44"/>
    <x v="0"/>
  </r>
  <r>
    <n v="242"/>
    <x v="2"/>
  </r>
  <r>
    <n v="242"/>
    <x v="1"/>
  </r>
  <r>
    <n v="131"/>
    <x v="2"/>
  </r>
  <r>
    <n v="219"/>
    <x v="4"/>
  </r>
  <r>
    <n v="57"/>
    <x v="0"/>
  </r>
  <r>
    <n v="117"/>
    <x v="0"/>
  </r>
  <r>
    <n v="91"/>
    <x v="4"/>
  </r>
  <r>
    <n v="185"/>
    <x v="0"/>
  </r>
  <r>
    <n v="264"/>
    <x v="4"/>
  </r>
  <r>
    <n v="157"/>
    <x v="4"/>
  </r>
  <r>
    <n v="19"/>
    <x v="4"/>
  </r>
  <r>
    <n v="233"/>
    <x v="2"/>
  </r>
  <r>
    <n v="142"/>
    <x v="0"/>
  </r>
  <r>
    <n v="158"/>
    <x v="0"/>
  </r>
  <r>
    <n v="102"/>
    <x v="0"/>
  </r>
  <r>
    <n v="170"/>
    <x v="2"/>
  </r>
  <r>
    <n v="22"/>
    <x v="4"/>
  </r>
  <r>
    <n v="57"/>
    <x v="0"/>
  </r>
  <r>
    <n v="186"/>
    <x v="0"/>
  </r>
  <r>
    <n v="25"/>
    <x v="2"/>
  </r>
  <r>
    <n v="103"/>
    <x v="2"/>
  </r>
  <r>
    <n v="272"/>
    <x v="0"/>
  </r>
  <r>
    <n v="130"/>
    <x v="4"/>
  </r>
  <r>
    <n v="277"/>
    <x v="0"/>
  </r>
  <r>
    <n v="234"/>
    <x v="0"/>
  </r>
  <r>
    <n v="147"/>
    <x v="4"/>
  </r>
  <r>
    <n v="10"/>
    <x v="4"/>
  </r>
  <r>
    <n v="10"/>
    <x v="5"/>
  </r>
  <r>
    <n v="240"/>
    <x v="0"/>
  </r>
  <r>
    <n v="114"/>
    <x v="0"/>
  </r>
  <r>
    <n v="117"/>
    <x v="2"/>
  </r>
  <r>
    <n v="66"/>
    <x v="4"/>
  </r>
  <r>
    <n v="142"/>
    <x v="2"/>
  </r>
  <r>
    <n v="200"/>
    <x v="4"/>
  </r>
  <r>
    <n v="200"/>
    <x v="1"/>
  </r>
  <r>
    <n v="143"/>
    <x v="2"/>
  </r>
  <r>
    <n v="176"/>
    <x v="4"/>
  </r>
  <r>
    <n v="76"/>
    <x v="4"/>
  </r>
  <r>
    <n v="290"/>
    <x v="2"/>
  </r>
  <r>
    <n v="122"/>
    <x v="4"/>
  </r>
  <r>
    <n v="47"/>
    <x v="4"/>
  </r>
  <r>
    <n v="212"/>
    <x v="2"/>
  </r>
  <r>
    <n v="64"/>
    <x v="0"/>
  </r>
  <r>
    <n v="143"/>
    <x v="0"/>
  </r>
  <r>
    <n v="240"/>
    <x v="0"/>
  </r>
  <r>
    <n v="187"/>
    <x v="0"/>
  </r>
  <r>
    <n v="25"/>
    <x v="2"/>
  </r>
  <r>
    <n v="17"/>
    <x v="0"/>
  </r>
  <r>
    <n v="20"/>
    <x v="2"/>
  </r>
  <r>
    <n v="245"/>
    <x v="2"/>
  </r>
  <r>
    <n v="120"/>
    <x v="0"/>
  </r>
  <r>
    <n v="132"/>
    <x v="2"/>
  </r>
  <r>
    <n v="169"/>
    <x v="2"/>
  </r>
  <r>
    <n v="169"/>
    <x v="1"/>
  </r>
  <r>
    <n v="230"/>
    <x v="2"/>
  </r>
  <r>
    <n v="104"/>
    <x v="0"/>
  </r>
  <r>
    <n v="150"/>
    <x v="0"/>
  </r>
  <r>
    <n v="182"/>
    <x v="4"/>
  </r>
  <r>
    <n v="83"/>
    <x v="4"/>
  </r>
  <r>
    <n v="53"/>
    <x v="2"/>
  </r>
  <r>
    <n v="38"/>
    <x v="0"/>
  </r>
  <r>
    <n v="246"/>
    <x v="4"/>
  </r>
  <r>
    <n v="229"/>
    <x v="0"/>
  </r>
  <r>
    <n v="235"/>
    <x v="4"/>
  </r>
  <r>
    <n v="154"/>
    <x v="0"/>
  </r>
  <r>
    <n v="266"/>
    <x v="2"/>
  </r>
  <r>
    <n v="52"/>
    <x v="2"/>
  </r>
  <r>
    <n v="238"/>
    <x v="2"/>
  </r>
  <r>
    <n v="292"/>
    <x v="2"/>
  </r>
  <r>
    <n v="11"/>
    <x v="2"/>
  </r>
  <r>
    <n v="239"/>
    <x v="4"/>
  </r>
  <r>
    <n v="173"/>
    <x v="2"/>
  </r>
  <r>
    <n v="208"/>
    <x v="0"/>
  </r>
  <r>
    <n v="251"/>
    <x v="4"/>
  </r>
  <r>
    <n v="71"/>
    <x v="4"/>
  </r>
  <r>
    <n v="264"/>
    <x v="4"/>
  </r>
  <r>
    <n v="300"/>
    <x v="4"/>
  </r>
  <r>
    <n v="137"/>
    <x v="0"/>
  </r>
  <r>
    <n v="192"/>
    <x v="2"/>
  </r>
  <r>
    <n v="145"/>
    <x v="0"/>
  </r>
  <r>
    <n v="51"/>
    <x v="0"/>
  </r>
  <r>
    <n v="272"/>
    <x v="4"/>
  </r>
  <r>
    <n v="223"/>
    <x v="4"/>
  </r>
  <r>
    <n v="195"/>
    <x v="4"/>
  </r>
  <r>
    <n v="282"/>
    <x v="0"/>
  </r>
  <r>
    <n v="282"/>
    <x v="2"/>
  </r>
  <r>
    <n v="282"/>
    <x v="1"/>
  </r>
  <r>
    <n v="85"/>
    <x v="4"/>
  </r>
  <r>
    <n v="19"/>
    <x v="4"/>
  </r>
  <r>
    <n v="158"/>
    <x v="2"/>
  </r>
  <r>
    <n v="277"/>
    <x v="2"/>
  </r>
  <r>
    <n v="233"/>
    <x v="2"/>
  </r>
  <r>
    <n v="49"/>
    <x v="4"/>
  </r>
  <r>
    <n v="288"/>
    <x v="4"/>
  </r>
  <r>
    <n v="286"/>
    <x v="0"/>
  </r>
  <r>
    <n v="198"/>
    <x v="0"/>
  </r>
  <r>
    <n v="171"/>
    <x v="2"/>
  </r>
  <r>
    <n v="171"/>
    <x v="5"/>
  </r>
  <r>
    <n v="87"/>
    <x v="4"/>
  </r>
  <r>
    <n v="129"/>
    <x v="2"/>
  </r>
  <r>
    <n v="129"/>
    <x v="5"/>
  </r>
  <r>
    <n v="135"/>
    <x v="2"/>
  </r>
  <r>
    <n v="49"/>
    <x v="0"/>
  </r>
  <r>
    <n v="49"/>
    <x v="1"/>
  </r>
  <r>
    <n v="287"/>
    <x v="0"/>
  </r>
  <r>
    <n v="21"/>
    <x v="0"/>
  </r>
  <r>
    <n v="219"/>
    <x v="2"/>
  </r>
  <r>
    <n v="248"/>
    <x v="4"/>
  </r>
  <r>
    <n v="282"/>
    <x v="0"/>
  </r>
  <r>
    <n v="89"/>
    <x v="4"/>
  </r>
  <r>
    <n v="119"/>
    <x v="4"/>
  </r>
  <r>
    <n v="56"/>
    <x v="2"/>
  </r>
  <r>
    <n v="275"/>
    <x v="2"/>
  </r>
  <r>
    <n v="270"/>
    <x v="2"/>
  </r>
  <r>
    <n v="12"/>
    <x v="4"/>
  </r>
  <r>
    <n v="23"/>
    <x v="2"/>
  </r>
  <r>
    <n v="39"/>
    <x v="0"/>
  </r>
  <r>
    <n v="39"/>
    <x v="5"/>
  </r>
  <r>
    <n v="252"/>
    <x v="2"/>
  </r>
  <r>
    <n v="164"/>
    <x v="2"/>
  </r>
  <r>
    <n v="118"/>
    <x v="4"/>
  </r>
  <r>
    <n v="121"/>
    <x v="2"/>
  </r>
  <r>
    <n v="217"/>
    <x v="0"/>
  </r>
  <r>
    <n v="195"/>
    <x v="4"/>
  </r>
  <r>
    <n v="118"/>
    <x v="2"/>
  </r>
  <r>
    <n v="84"/>
    <x v="4"/>
  </r>
  <r>
    <n v="251"/>
    <x v="0"/>
  </r>
  <r>
    <n v="201"/>
    <x v="4"/>
  </r>
  <r>
    <n v="249"/>
    <x v="0"/>
  </r>
  <r>
    <n v="42"/>
    <x v="2"/>
  </r>
  <r>
    <n v="241"/>
    <x v="2"/>
  </r>
  <r>
    <n v="194"/>
    <x v="0"/>
  </r>
  <r>
    <n v="194"/>
    <x v="1"/>
  </r>
  <r>
    <n v="194"/>
    <x v="4"/>
  </r>
  <r>
    <n v="76"/>
    <x v="0"/>
  </r>
  <r>
    <n v="43"/>
    <x v="0"/>
  </r>
  <r>
    <n v="102"/>
    <x v="0"/>
  </r>
  <r>
    <n v="145"/>
    <x v="4"/>
  </r>
  <r>
    <n v="145"/>
    <x v="2"/>
  </r>
  <r>
    <n v="145"/>
    <x v="1"/>
  </r>
  <r>
    <n v="122"/>
    <x v="2"/>
  </r>
  <r>
    <n v="210"/>
    <x v="4"/>
  </r>
  <r>
    <n v="32"/>
    <x v="0"/>
  </r>
  <r>
    <n v="63"/>
    <x v="0"/>
  </r>
  <r>
    <n v="177"/>
    <x v="4"/>
  </r>
  <r>
    <n v="160"/>
    <x v="0"/>
  </r>
  <r>
    <n v="208"/>
    <x v="0"/>
  </r>
  <r>
    <n v="208"/>
    <x v="4"/>
  </r>
  <r>
    <n v="208"/>
    <x v="3"/>
  </r>
  <r>
    <n v="212"/>
    <x v="4"/>
  </r>
  <r>
    <n v="254"/>
    <x v="4"/>
  </r>
  <r>
    <n v="251"/>
    <x v="0"/>
  </r>
  <r>
    <n v="189"/>
    <x v="0"/>
  </r>
  <r>
    <n v="64"/>
    <x v="0"/>
  </r>
  <r>
    <n v="205"/>
    <x v="4"/>
  </r>
  <r>
    <n v="224"/>
    <x v="0"/>
  </r>
  <r>
    <n v="226"/>
    <x v="0"/>
  </r>
  <r>
    <n v="248"/>
    <x v="4"/>
  </r>
  <r>
    <n v="25"/>
    <x v="4"/>
  </r>
  <r>
    <n v="25"/>
    <x v="4"/>
  </r>
  <r>
    <n v="25"/>
    <x v="3"/>
  </r>
  <r>
    <n v="172"/>
    <x v="4"/>
  </r>
  <r>
    <n v="93"/>
    <x v="2"/>
  </r>
  <r>
    <n v="10"/>
    <x v="2"/>
  </r>
  <r>
    <n v="10"/>
    <x v="4"/>
  </r>
  <r>
    <n v="10"/>
    <x v="3"/>
  </r>
  <r>
    <n v="170"/>
    <x v="4"/>
  </r>
  <r>
    <n v="237"/>
    <x v="2"/>
  </r>
  <r>
    <n v="20"/>
    <x v="0"/>
  </r>
  <r>
    <n v="293"/>
    <x v="2"/>
  </r>
  <r>
    <n v="41"/>
    <x v="4"/>
  </r>
  <r>
    <n v="10"/>
    <x v="2"/>
  </r>
  <r>
    <n v="62"/>
    <x v="0"/>
  </r>
  <r>
    <n v="269"/>
    <x v="4"/>
  </r>
  <r>
    <n v="45"/>
    <x v="2"/>
  </r>
  <r>
    <n v="241"/>
    <x v="2"/>
  </r>
  <r>
    <n v="195"/>
    <x v="4"/>
  </r>
  <r>
    <n v="217"/>
    <x v="2"/>
  </r>
  <r>
    <n v="296"/>
    <x v="4"/>
  </r>
  <r>
    <n v="44"/>
    <x v="2"/>
  </r>
  <r>
    <n v="58"/>
    <x v="4"/>
  </r>
  <r>
    <n v="137"/>
    <x v="2"/>
  </r>
  <r>
    <n v="238"/>
    <x v="0"/>
  </r>
  <r>
    <n v="282"/>
    <x v="4"/>
  </r>
  <r>
    <n v="279"/>
    <x v="2"/>
  </r>
  <r>
    <n v="104"/>
    <x v="4"/>
  </r>
  <r>
    <n v="104"/>
    <x v="2"/>
  </r>
  <r>
    <n v="104"/>
    <x v="1"/>
  </r>
  <r>
    <n v="135"/>
    <x v="4"/>
  </r>
  <r>
    <n v="30"/>
    <x v="0"/>
  </r>
  <r>
    <n v="157"/>
    <x v="0"/>
  </r>
  <r>
    <n v="231"/>
    <x v="2"/>
  </r>
  <r>
    <n v="174"/>
    <x v="4"/>
  </r>
  <r>
    <n v="228"/>
    <x v="0"/>
  </r>
  <r>
    <n v="82"/>
    <x v="4"/>
  </r>
  <r>
    <n v="262"/>
    <x v="0"/>
  </r>
  <r>
    <n v="129"/>
    <x v="0"/>
  </r>
  <r>
    <n v="191"/>
    <x v="4"/>
  </r>
  <r>
    <n v="35"/>
    <x v="4"/>
  </r>
  <r>
    <n v="238"/>
    <x v="2"/>
  </r>
  <r>
    <n v="238"/>
    <x v="1"/>
  </r>
  <r>
    <n v="277"/>
    <x v="4"/>
  </r>
  <r>
    <n v="89"/>
    <x v="4"/>
  </r>
  <r>
    <n v="235"/>
    <x v="0"/>
  </r>
  <r>
    <n v="235"/>
    <x v="2"/>
  </r>
  <r>
    <n v="235"/>
    <x v="1"/>
  </r>
  <r>
    <n v="210"/>
    <x v="2"/>
  </r>
  <r>
    <n v="210"/>
    <x v="5"/>
  </r>
  <r>
    <n v="24"/>
    <x v="4"/>
  </r>
  <r>
    <n v="14"/>
    <x v="2"/>
  </r>
  <r>
    <n v="70"/>
    <x v="0"/>
  </r>
  <r>
    <n v="191"/>
    <x v="2"/>
  </r>
  <r>
    <n v="191"/>
    <x v="4"/>
  </r>
  <r>
    <n v="191"/>
    <x v="3"/>
  </r>
</pivotCacheRecords>
</file>

<file path=xl/pivotCache/pivotCacheRecords7.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39">
  <r>
    <x v="0"/>
  </r>
  <r>
    <x v="1"/>
  </r>
  <r>
    <x v="2"/>
  </r>
  <r>
    <x v="3"/>
  </r>
  <r>
    <x v="2"/>
  </r>
  <r>
    <x v="4"/>
  </r>
  <r>
    <x v="4"/>
  </r>
  <r>
    <x v="2"/>
  </r>
  <r>
    <x v="2"/>
  </r>
  <r>
    <x v="2"/>
  </r>
  <r>
    <x v="4"/>
  </r>
  <r>
    <x v="2"/>
  </r>
  <r>
    <x v="2"/>
  </r>
  <r>
    <x v="0"/>
  </r>
  <r>
    <x v="0"/>
  </r>
  <r>
    <x v="4"/>
  </r>
  <r>
    <x v="0"/>
  </r>
  <r>
    <x v="0"/>
  </r>
  <r>
    <x v="0"/>
  </r>
  <r>
    <x v="4"/>
  </r>
  <r>
    <x v="0"/>
  </r>
  <r>
    <x v="2"/>
  </r>
  <r>
    <x v="2"/>
  </r>
  <r>
    <x v="0"/>
  </r>
  <r>
    <x v="2"/>
  </r>
  <r>
    <x v="2"/>
  </r>
  <r>
    <x v="1"/>
  </r>
  <r>
    <x v="0"/>
  </r>
  <r>
    <x v="4"/>
  </r>
  <r>
    <x v="0"/>
  </r>
  <r>
    <x v="0"/>
  </r>
  <r>
    <x v="0"/>
  </r>
  <r>
    <x v="0"/>
  </r>
  <r>
    <x v="4"/>
  </r>
  <r>
    <x v="2"/>
  </r>
  <r>
    <x v="4"/>
  </r>
  <r>
    <x v="2"/>
  </r>
  <r>
    <x v="2"/>
  </r>
  <r>
    <x v="0"/>
  </r>
  <r>
    <x v="4"/>
  </r>
  <r>
    <x v="4"/>
  </r>
  <r>
    <x v="2"/>
  </r>
  <r>
    <x v="2"/>
  </r>
  <r>
    <x v="4"/>
  </r>
  <r>
    <x v="0"/>
  </r>
  <r>
    <x v="4"/>
  </r>
  <r>
    <x v="2"/>
  </r>
  <r>
    <x v="2"/>
  </r>
  <r>
    <x v="0"/>
  </r>
  <r>
    <x v="2"/>
  </r>
  <r>
    <x v="0"/>
  </r>
  <r>
    <x v="2"/>
  </r>
  <r>
    <x v="2"/>
  </r>
  <r>
    <x v="2"/>
  </r>
  <r>
    <x v="0"/>
  </r>
  <r>
    <x v="2"/>
  </r>
  <r>
    <x v="4"/>
  </r>
  <r>
    <x v="3"/>
  </r>
  <r>
    <x v="0"/>
  </r>
  <r>
    <x v="4"/>
  </r>
  <r>
    <x v="0"/>
  </r>
  <r>
    <x v="2"/>
  </r>
  <r>
    <x v="2"/>
  </r>
  <r>
    <x v="4"/>
  </r>
  <r>
    <x v="4"/>
  </r>
  <r>
    <x v="2"/>
  </r>
  <r>
    <x v="1"/>
  </r>
  <r>
    <x v="2"/>
  </r>
  <r>
    <x v="2"/>
  </r>
  <r>
    <x v="0"/>
  </r>
  <r>
    <x v="0"/>
  </r>
  <r>
    <x v="4"/>
  </r>
  <r>
    <x v="4"/>
  </r>
  <r>
    <x v="4"/>
  </r>
  <r>
    <x v="4"/>
  </r>
  <r>
    <x v="0"/>
  </r>
  <r>
    <x v="2"/>
  </r>
  <r>
    <x v="2"/>
  </r>
  <r>
    <x v="4"/>
  </r>
  <r>
    <x v="0"/>
  </r>
  <r>
    <x v="2"/>
  </r>
  <r>
    <x v="2"/>
  </r>
  <r>
    <x v="2"/>
  </r>
  <r>
    <x v="2"/>
  </r>
  <r>
    <x v="0"/>
  </r>
  <r>
    <x v="4"/>
  </r>
  <r>
    <x v="0"/>
  </r>
  <r>
    <x v="2"/>
  </r>
  <r>
    <x v="0"/>
  </r>
  <r>
    <x v="2"/>
  </r>
  <r>
    <x v="1"/>
  </r>
  <r>
    <x v="4"/>
  </r>
  <r>
    <x v="0"/>
  </r>
  <r>
    <x v="0"/>
  </r>
  <r>
    <x v="4"/>
  </r>
  <r>
    <x v="3"/>
  </r>
  <r>
    <x v="0"/>
  </r>
  <r>
    <x v="2"/>
  </r>
  <r>
    <x v="4"/>
  </r>
  <r>
    <x v="2"/>
  </r>
  <r>
    <x v="4"/>
  </r>
  <r>
    <x v="0"/>
  </r>
  <r>
    <x v="4"/>
  </r>
  <r>
    <x v="0"/>
  </r>
  <r>
    <x v="0"/>
  </r>
  <r>
    <x v="0"/>
  </r>
  <r>
    <x v="2"/>
  </r>
  <r>
    <x v="1"/>
  </r>
  <r>
    <x v="0"/>
  </r>
  <r>
    <x v="0"/>
  </r>
  <r>
    <x v="4"/>
  </r>
  <r>
    <x v="0"/>
  </r>
  <r>
    <x v="4"/>
  </r>
  <r>
    <x v="4"/>
  </r>
  <r>
    <x v="2"/>
  </r>
  <r>
    <x v="0"/>
  </r>
  <r>
    <x v="2"/>
  </r>
  <r>
    <x v="2"/>
  </r>
  <r>
    <x v="2"/>
  </r>
  <r>
    <x v="0"/>
  </r>
  <r>
    <x v="4"/>
  </r>
  <r>
    <x v="2"/>
  </r>
  <r>
    <x v="0"/>
  </r>
  <r>
    <x v="4"/>
  </r>
  <r>
    <x v="0"/>
  </r>
  <r>
    <x v="2"/>
  </r>
  <r>
    <x v="1"/>
  </r>
  <r>
    <x v="2"/>
  </r>
  <r>
    <x v="4"/>
  </r>
  <r>
    <x v="0"/>
  </r>
  <r>
    <x v="0"/>
  </r>
  <r>
    <x v="4"/>
  </r>
  <r>
    <x v="0"/>
  </r>
  <r>
    <x v="4"/>
  </r>
  <r>
    <x v="4"/>
  </r>
  <r>
    <x v="4"/>
  </r>
  <r>
    <x v="2"/>
  </r>
  <r>
    <x v="0"/>
  </r>
  <r>
    <x v="0"/>
  </r>
  <r>
    <x v="0"/>
  </r>
  <r>
    <x v="2"/>
  </r>
  <r>
    <x v="4"/>
  </r>
  <r>
    <x v="0"/>
  </r>
  <r>
    <x v="0"/>
  </r>
  <r>
    <x v="2"/>
  </r>
  <r>
    <x v="2"/>
  </r>
  <r>
    <x v="0"/>
  </r>
  <r>
    <x v="4"/>
  </r>
  <r>
    <x v="0"/>
  </r>
  <r>
    <x v="0"/>
  </r>
  <r>
    <x v="4"/>
  </r>
  <r>
    <x v="4"/>
  </r>
  <r>
    <x v="5"/>
  </r>
  <r>
    <x v="0"/>
  </r>
  <r>
    <x v="0"/>
  </r>
  <r>
    <x v="2"/>
  </r>
  <r>
    <x v="4"/>
  </r>
  <r>
    <x v="2"/>
  </r>
  <r>
    <x v="4"/>
  </r>
  <r>
    <x v="1"/>
  </r>
  <r>
    <x v="2"/>
  </r>
  <r>
    <x v="4"/>
  </r>
  <r>
    <x v="4"/>
  </r>
  <r>
    <x v="2"/>
  </r>
  <r>
    <x v="4"/>
  </r>
  <r>
    <x v="4"/>
  </r>
  <r>
    <x v="2"/>
  </r>
  <r>
    <x v="0"/>
  </r>
  <r>
    <x v="0"/>
  </r>
  <r>
    <x v="0"/>
  </r>
  <r>
    <x v="0"/>
  </r>
  <r>
    <x v="2"/>
  </r>
  <r>
    <x v="0"/>
  </r>
  <r>
    <x v="2"/>
  </r>
  <r>
    <x v="2"/>
  </r>
  <r>
    <x v="0"/>
  </r>
  <r>
    <x v="2"/>
  </r>
  <r>
    <x v="2"/>
  </r>
  <r>
    <x v="1"/>
  </r>
  <r>
    <x v="2"/>
  </r>
  <r>
    <x v="0"/>
  </r>
  <r>
    <x v="0"/>
  </r>
  <r>
    <x v="4"/>
  </r>
  <r>
    <x v="4"/>
  </r>
  <r>
    <x v="2"/>
  </r>
  <r>
    <x v="0"/>
  </r>
  <r>
    <x v="4"/>
  </r>
  <r>
    <x v="0"/>
  </r>
  <r>
    <x v="4"/>
  </r>
  <r>
    <x v="0"/>
  </r>
  <r>
    <x v="2"/>
  </r>
  <r>
    <x v="2"/>
  </r>
  <r>
    <x v="2"/>
  </r>
  <r>
    <x v="2"/>
  </r>
  <r>
    <x v="2"/>
  </r>
  <r>
    <x v="4"/>
  </r>
  <r>
    <x v="2"/>
  </r>
  <r>
    <x v="0"/>
  </r>
  <r>
    <x v="4"/>
  </r>
  <r>
    <x v="4"/>
  </r>
  <r>
    <x v="4"/>
  </r>
  <r>
    <x v="4"/>
  </r>
  <r>
    <x v="0"/>
  </r>
  <r>
    <x v="2"/>
  </r>
  <r>
    <x v="0"/>
  </r>
  <r>
    <x v="0"/>
  </r>
  <r>
    <x v="4"/>
  </r>
  <r>
    <x v="4"/>
  </r>
  <r>
    <x v="4"/>
  </r>
  <r>
    <x v="0"/>
  </r>
  <r>
    <x v="2"/>
  </r>
  <r>
    <x v="1"/>
  </r>
  <r>
    <x v="4"/>
  </r>
  <r>
    <x v="4"/>
  </r>
  <r>
    <x v="2"/>
  </r>
  <r>
    <x v="2"/>
  </r>
  <r>
    <x v="2"/>
  </r>
  <r>
    <x v="4"/>
  </r>
  <r>
    <x v="4"/>
  </r>
  <r>
    <x v="0"/>
  </r>
  <r>
    <x v="0"/>
  </r>
  <r>
    <x v="2"/>
  </r>
  <r>
    <x v="5"/>
  </r>
  <r>
    <x v="4"/>
  </r>
  <r>
    <x v="2"/>
  </r>
  <r>
    <x v="5"/>
  </r>
  <r>
    <x v="2"/>
  </r>
  <r>
    <x v="0"/>
  </r>
  <r>
    <x v="1"/>
  </r>
  <r>
    <x v="0"/>
  </r>
  <r>
    <x v="0"/>
  </r>
  <r>
    <x v="2"/>
  </r>
  <r>
    <x v="4"/>
  </r>
  <r>
    <x v="0"/>
  </r>
  <r>
    <x v="4"/>
  </r>
  <r>
    <x v="4"/>
  </r>
  <r>
    <x v="2"/>
  </r>
  <r>
    <x v="2"/>
  </r>
  <r>
    <x v="2"/>
  </r>
  <r>
    <x v="4"/>
  </r>
  <r>
    <x v="2"/>
  </r>
  <r>
    <x v="0"/>
  </r>
  <r>
    <x v="5"/>
  </r>
  <r>
    <x v="2"/>
  </r>
  <r>
    <x v="2"/>
  </r>
  <r>
    <x v="4"/>
  </r>
  <r>
    <x v="2"/>
  </r>
  <r>
    <x v="0"/>
  </r>
  <r>
    <x v="4"/>
  </r>
  <r>
    <x v="2"/>
  </r>
  <r>
    <x v="4"/>
  </r>
  <r>
    <x v="0"/>
  </r>
  <r>
    <x v="4"/>
  </r>
  <r>
    <x v="0"/>
  </r>
  <r>
    <x v="2"/>
  </r>
  <r>
    <x v="2"/>
  </r>
  <r>
    <x v="0"/>
  </r>
  <r>
    <x v="1"/>
  </r>
  <r>
    <x v="4"/>
  </r>
  <r>
    <x v="0"/>
  </r>
  <r>
    <x v="0"/>
  </r>
  <r>
    <x v="0"/>
  </r>
  <r>
    <x v="4"/>
  </r>
  <r>
    <x v="2"/>
  </r>
  <r>
    <x v="1"/>
  </r>
  <r>
    <x v="2"/>
  </r>
  <r>
    <x v="4"/>
  </r>
  <r>
    <x v="0"/>
  </r>
  <r>
    <x v="0"/>
  </r>
  <r>
    <x v="4"/>
  </r>
  <r>
    <x v="0"/>
  </r>
  <r>
    <x v="0"/>
  </r>
  <r>
    <x v="4"/>
  </r>
  <r>
    <x v="3"/>
  </r>
  <r>
    <x v="4"/>
  </r>
  <r>
    <x v="4"/>
  </r>
  <r>
    <x v="0"/>
  </r>
  <r>
    <x v="0"/>
  </r>
  <r>
    <x v="0"/>
  </r>
  <r>
    <x v="4"/>
  </r>
  <r>
    <x v="0"/>
  </r>
  <r>
    <x v="0"/>
  </r>
  <r>
    <x v="4"/>
  </r>
  <r>
    <x v="4"/>
  </r>
  <r>
    <x v="4"/>
  </r>
  <r>
    <x v="3"/>
  </r>
  <r>
    <x v="4"/>
  </r>
  <r>
    <x v="2"/>
  </r>
  <r>
    <x v="2"/>
  </r>
  <r>
    <x v="4"/>
  </r>
  <r>
    <x v="3"/>
  </r>
  <r>
    <x v="4"/>
  </r>
  <r>
    <x v="2"/>
  </r>
  <r>
    <x v="0"/>
  </r>
  <r>
    <x v="2"/>
  </r>
  <r>
    <x v="4"/>
  </r>
  <r>
    <x v="2"/>
  </r>
  <r>
    <x v="0"/>
  </r>
  <r>
    <x v="4"/>
  </r>
  <r>
    <x v="2"/>
  </r>
  <r>
    <x v="2"/>
  </r>
  <r>
    <x v="4"/>
  </r>
  <r>
    <x v="2"/>
  </r>
  <r>
    <x v="4"/>
  </r>
  <r>
    <x v="2"/>
  </r>
  <r>
    <x v="4"/>
  </r>
  <r>
    <x v="2"/>
  </r>
  <r>
    <x v="0"/>
  </r>
  <r>
    <x v="4"/>
  </r>
  <r>
    <x v="2"/>
  </r>
  <r>
    <x v="4"/>
  </r>
  <r>
    <x v="2"/>
  </r>
  <r>
    <x v="1"/>
  </r>
  <r>
    <x v="4"/>
  </r>
  <r>
    <x v="0"/>
  </r>
  <r>
    <x v="0"/>
  </r>
  <r>
    <x v="2"/>
  </r>
  <r>
    <x v="4"/>
  </r>
  <r>
    <x v="0"/>
  </r>
  <r>
    <x v="4"/>
  </r>
  <r>
    <x v="0"/>
  </r>
  <r>
    <x v="0"/>
  </r>
  <r>
    <x v="4"/>
  </r>
  <r>
    <x v="4"/>
  </r>
  <r>
    <x v="2"/>
  </r>
  <r>
    <x v="1"/>
  </r>
  <r>
    <x v="4"/>
  </r>
  <r>
    <x v="4"/>
  </r>
  <r>
    <x v="0"/>
  </r>
  <r>
    <x v="2"/>
  </r>
  <r>
    <x v="1"/>
  </r>
  <r>
    <x v="2"/>
  </r>
  <r>
    <x v="5"/>
  </r>
  <r>
    <x v="4"/>
  </r>
  <r>
    <x v="2"/>
  </r>
  <r>
    <x v="0"/>
  </r>
  <r>
    <x v="2"/>
  </r>
  <r>
    <x v="4"/>
  </r>
  <r>
    <x v="3"/>
  </r>
</pivotCacheRecords>
</file>

<file path=xl/pivotCache/pivotCacheRecords8.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39">
  <r>
    <x v="0"/>
    <s v="CybertruckLaunch"/>
    <n v="9.0759753593429152E-2"/>
  </r>
  <r>
    <x v="1"/>
    <s v="CybertruckLaunch"/>
    <n v="9.0759753593429152E-2"/>
  </r>
  <r>
    <x v="2"/>
    <s v="ModelYCampaign"/>
    <n v="7.6097681302417369E-2"/>
  </r>
  <r>
    <x v="3"/>
    <s v="ModelYCampaign"/>
    <n v="7.6097681302417369E-2"/>
  </r>
  <r>
    <x v="2"/>
    <s v="FSDUpdate"/>
    <n v="5.5531494209584788E-2"/>
  </r>
  <r>
    <x v="4"/>
    <s v="SustainabilityDrive"/>
    <n v="0.15105033277870217"/>
  </r>
  <r>
    <x v="4"/>
    <s v="CybertruckLaunch"/>
    <n v="6.5617093055946027E-2"/>
  </r>
  <r>
    <x v="2"/>
    <s v="CybertruckLaunch"/>
    <n v="6.5617093055946027E-2"/>
  </r>
  <r>
    <x v="2"/>
    <s v="ModelYCampaign"/>
    <n v="0.17954159592529711"/>
  </r>
  <r>
    <x v="2"/>
    <s v="ModelYCampaign"/>
    <n v="7.0272020725388601E-2"/>
  </r>
  <r>
    <x v="4"/>
    <s v="SustainabilityDrive"/>
    <n v="0.10340359564080613"/>
  </r>
  <r>
    <x v="2"/>
    <s v="ModelYCampaign"/>
    <n v="8.8019732205778717E-2"/>
  </r>
  <r>
    <x v="2"/>
    <s v="ModelYCampaign"/>
    <n v="7.198635172059864E-2"/>
  </r>
  <r>
    <x v="0"/>
    <s v="SustainabilityDrive"/>
    <n v="0.11571269132653061"/>
  </r>
  <r>
    <x v="0"/>
    <s v="FSDUpdate"/>
    <n v="0.12885405960945528"/>
  </r>
  <r>
    <x v="4"/>
    <s v="CybertruckLaunch"/>
    <n v="7.5868578363072495E-2"/>
  </r>
  <r>
    <x v="0"/>
    <m/>
    <n v="0.14521452145214522"/>
  </r>
  <r>
    <x v="0"/>
    <s v="CybertruckLaunch"/>
    <n v="5.941358024691358E-2"/>
  </r>
  <r>
    <x v="0"/>
    <s v="FSDUpdate"/>
    <n v="7.5843713789107758E-2"/>
  </r>
  <r>
    <x v="4"/>
    <s v="SustainabilityDrive"/>
    <n v="9.4235532537716729E-2"/>
  </r>
  <r>
    <x v="0"/>
    <s v="CybertruckLaunch"/>
    <n v="0.10297222222222223"/>
  </r>
  <r>
    <x v="2"/>
    <s v="SustainabilityDrive"/>
    <n v="0.10034235916588857"/>
  </r>
  <r>
    <x v="2"/>
    <s v="CybertruckLaunch"/>
    <n v="6.3809622724794221E-2"/>
  </r>
  <r>
    <x v="0"/>
    <s v="SustainabilityDrive"/>
    <n v="7.7249552156538517E-2"/>
  </r>
  <r>
    <x v="2"/>
    <s v="SustainabilityDrive"/>
    <n v="8.0294585987261149E-2"/>
  </r>
  <r>
    <x v="2"/>
    <s v="ModelYCampaign"/>
    <n v="7.6867995018679955E-2"/>
  </r>
  <r>
    <x v="1"/>
    <s v="ModelYCampaign"/>
    <n v="7.6867995018679955E-2"/>
  </r>
  <r>
    <x v="0"/>
    <s v="FSDUpdate"/>
    <n v="7.2070332803659209E-2"/>
  </r>
  <r>
    <x v="4"/>
    <m/>
    <n v="5.9496567505720827E-2"/>
  </r>
  <r>
    <x v="0"/>
    <s v="ModelYCampaign"/>
    <n v="8.9730807577268201E-2"/>
  </r>
  <r>
    <x v="0"/>
    <s v="SustainabilityDrive"/>
    <n v="7.1501685934489398E-2"/>
  </r>
  <r>
    <x v="0"/>
    <s v="SustainabilityDrive"/>
    <n v="0.17057291666666666"/>
  </r>
  <r>
    <x v="0"/>
    <s v="FSDUpdate"/>
    <n v="0.21208106001558846"/>
  </r>
  <r>
    <x v="4"/>
    <m/>
    <n v="5.7655717106444085E-2"/>
  </r>
  <r>
    <x v="2"/>
    <s v="ModelYCampaign"/>
    <n v="0.28245270711024134"/>
  </r>
  <r>
    <x v="4"/>
    <s v="CybertruckLaunch"/>
    <n v="0.19088381621305239"/>
  </r>
  <r>
    <x v="2"/>
    <s v="CybertruckLaunch"/>
    <n v="0.12781331438047855"/>
  </r>
  <r>
    <x v="2"/>
    <s v="FSDUpdate"/>
    <n v="7.055421038471886E-2"/>
  </r>
  <r>
    <x v="0"/>
    <s v="ModelYCampaign"/>
    <n v="0.11861662987490802"/>
  </r>
  <r>
    <x v="4"/>
    <s v="ModelYCampaign"/>
    <n v="7.6523535487678915E-2"/>
  </r>
  <r>
    <x v="4"/>
    <s v="ModelYCampaign"/>
    <n v="0.17770337301587302"/>
  </r>
  <r>
    <x v="2"/>
    <s v="SustainabilityDrive"/>
    <n v="0.12577012959422137"/>
  </r>
  <r>
    <x v="2"/>
    <m/>
    <n v="7.2126493695121141E-2"/>
  </r>
  <r>
    <x v="4"/>
    <s v="SustainabilityDrive"/>
    <n v="0.13989473684210527"/>
  </r>
  <r>
    <x v="0"/>
    <s v="SustainabilityDrive"/>
    <n v="0.18433235867446393"/>
  </r>
  <r>
    <x v="4"/>
    <m/>
    <n v="0.21840570317563188"/>
  </r>
  <r>
    <x v="2"/>
    <s v="FSDUpdate"/>
    <n v="0.21826126954921804"/>
  </r>
  <r>
    <x v="2"/>
    <m/>
    <n v="9.8558100084817649E-2"/>
  </r>
  <r>
    <x v="0"/>
    <s v="CybertruckLaunch"/>
    <n v="7.5229902106199939E-2"/>
  </r>
  <r>
    <x v="2"/>
    <s v="SustainabilityDrive"/>
    <n v="0.16888537906137185"/>
  </r>
  <r>
    <x v="0"/>
    <m/>
    <n v="0.16683616863905326"/>
  </r>
  <r>
    <x v="2"/>
    <m/>
    <n v="7.349527665317139E-2"/>
  </r>
  <r>
    <x v="2"/>
    <s v="SustainabilityDrive"/>
    <n v="0.10617801791554102"/>
  </r>
  <r>
    <x v="2"/>
    <s v="FSDUpdate"/>
    <n v="0.13498547567175018"/>
  </r>
  <r>
    <x v="0"/>
    <s v="ModelYCampaign"/>
    <n v="7.8689839572192513E-2"/>
  </r>
  <r>
    <x v="2"/>
    <s v="SustainabilityDrive"/>
    <n v="0.1569549774407219"/>
  </r>
  <r>
    <x v="4"/>
    <m/>
    <n v="0.36965174129353234"/>
  </r>
  <r>
    <x v="3"/>
    <m/>
    <n v="0.36965174129353234"/>
  </r>
  <r>
    <x v="0"/>
    <s v="ModelYCampaign"/>
    <n v="0.16510298716704411"/>
  </r>
  <r>
    <x v="4"/>
    <s v="SustainabilityDrive"/>
    <n v="9.1897770527460579E-2"/>
  </r>
  <r>
    <x v="0"/>
    <s v="FSDUpdate"/>
    <n v="0.12936184657162253"/>
  </r>
  <r>
    <x v="2"/>
    <s v="CybertruckLaunch"/>
    <n v="8.0862831858407078E-2"/>
  </r>
  <r>
    <x v="2"/>
    <s v="SustainabilityDrive"/>
    <n v="0.86601941747572819"/>
  </r>
  <r>
    <x v="4"/>
    <m/>
    <n v="9.2726081258191345E-2"/>
  </r>
  <r>
    <x v="4"/>
    <s v="FSDUpdate"/>
    <n v="0.1650782845473111"/>
  </r>
  <r>
    <x v="2"/>
    <s v="FSDUpdate"/>
    <n v="0.1650782845473111"/>
  </r>
  <r>
    <x v="1"/>
    <s v="FSDUpdate"/>
    <n v="0.1650782845473111"/>
  </r>
  <r>
    <x v="2"/>
    <s v="CybertruckLaunch"/>
    <n v="0.14276618001546368"/>
  </r>
  <r>
    <x v="2"/>
    <s v="FSDUpdate"/>
    <n v="0.53773584905660377"/>
  </r>
  <r>
    <x v="0"/>
    <s v="FSDUpdate"/>
    <n v="5.2551586421122697E-2"/>
  </r>
  <r>
    <x v="0"/>
    <s v="FSDUpdate"/>
    <n v="8.2047718322909427E-2"/>
  </r>
  <r>
    <x v="4"/>
    <m/>
    <n v="0.11990720603160794"/>
  </r>
  <r>
    <x v="4"/>
    <s v="CybertruckLaunch"/>
    <n v="0.29199735449735448"/>
  </r>
  <r>
    <x v="4"/>
    <s v="FSDUpdate"/>
    <n v="6.3749764195434822E-2"/>
  </r>
  <r>
    <x v="4"/>
    <m/>
    <n v="0.19310344827586207"/>
  </r>
  <r>
    <x v="0"/>
    <s v="FSDUpdate"/>
    <n v="9.3421052631578946E-2"/>
  </r>
  <r>
    <x v="2"/>
    <m/>
    <n v="0.38274706867671693"/>
  </r>
  <r>
    <x v="2"/>
    <s v="ModelYCampaign"/>
    <n v="0.1199202926956749"/>
  </r>
  <r>
    <x v="4"/>
    <s v="ModelYCampaign"/>
    <n v="8.837126600284495E-2"/>
  </r>
  <r>
    <x v="0"/>
    <s v="SustainabilityDrive"/>
    <n v="6.4265122330790625E-2"/>
  </r>
  <r>
    <x v="2"/>
    <s v="FSDUpdate"/>
    <n v="0.13351302785265048"/>
  </r>
  <r>
    <x v="2"/>
    <s v="SustainabilityDrive"/>
    <n v="0.12131237937689551"/>
  </r>
  <r>
    <x v="2"/>
    <s v="SustainabilityDrive"/>
    <n v="8.1177520071364848E-2"/>
  </r>
  <r>
    <x v="2"/>
    <m/>
    <n v="0.20416333066453163"/>
  </r>
  <r>
    <x v="0"/>
    <s v="SustainabilityDrive"/>
    <n v="8.2075471698113203E-2"/>
  </r>
  <r>
    <x v="4"/>
    <s v="ModelYCampaign"/>
    <n v="8.860696018453515E-2"/>
  </r>
  <r>
    <x v="0"/>
    <m/>
    <n v="7.7533348349475686E-2"/>
  </r>
  <r>
    <x v="2"/>
    <s v="FSDUpdate"/>
    <n v="9.4413295955146179E-2"/>
  </r>
  <r>
    <x v="0"/>
    <s v="FSDUpdate"/>
    <n v="8.558620689655172E-2"/>
  </r>
  <r>
    <x v="2"/>
    <s v="FSDUpdate"/>
    <n v="8.558620689655172E-2"/>
  </r>
  <r>
    <x v="1"/>
    <s v="FSDUpdate"/>
    <n v="8.558620689655172E-2"/>
  </r>
  <r>
    <x v="4"/>
    <m/>
    <n v="0.16118220597196831"/>
  </r>
  <r>
    <x v="0"/>
    <s v="SustainabilityDrive"/>
    <n v="8.6737756939878216E-2"/>
  </r>
  <r>
    <x v="0"/>
    <s v="CybertruckLaunch"/>
    <n v="0.19156491900087783"/>
  </r>
  <r>
    <x v="4"/>
    <s v="SustainabilityDrive"/>
    <n v="6.5515821264328367E-2"/>
  </r>
  <r>
    <x v="3"/>
    <s v="SustainabilityDrive"/>
    <n v="6.5515821264328367E-2"/>
  </r>
  <r>
    <x v="0"/>
    <s v="FSDUpdate"/>
    <n v="0.20868152274837512"/>
  </r>
  <r>
    <x v="2"/>
    <s v="SustainabilityDrive"/>
    <n v="0.13576158940397351"/>
  </r>
  <r>
    <x v="4"/>
    <m/>
    <n v="0.16873144921925409"/>
  </r>
  <r>
    <x v="2"/>
    <s v="SustainabilityDrive"/>
    <n v="7.0822181933293038E-2"/>
  </r>
  <r>
    <x v="4"/>
    <s v="SustainabilityDrive"/>
    <n v="7.984956452889945E-2"/>
  </r>
  <r>
    <x v="0"/>
    <s v="FSDUpdate"/>
    <n v="0.13599052880820836"/>
  </r>
  <r>
    <x v="4"/>
    <s v="FSDUpdate"/>
    <n v="0.28045655718611695"/>
  </r>
  <r>
    <x v="0"/>
    <s v="FSDUpdate"/>
    <n v="0.16843866371633656"/>
  </r>
  <r>
    <x v="0"/>
    <s v="SustainabilityDrive"/>
    <n v="6.8108806480899509E-2"/>
  </r>
  <r>
    <x v="0"/>
    <m/>
    <n v="0.10339256865912763"/>
  </r>
  <r>
    <x v="2"/>
    <s v="ModelYCampaign"/>
    <n v="8.7668609086629767E-2"/>
  </r>
  <r>
    <x v="1"/>
    <s v="ModelYCampaign"/>
    <n v="8.7668609086629767E-2"/>
  </r>
  <r>
    <x v="0"/>
    <s v="SustainabilityDrive"/>
    <n v="0.11238095238095239"/>
  </r>
  <r>
    <x v="0"/>
    <s v="FSDUpdate"/>
    <n v="7.2000119875329657E-2"/>
  </r>
  <r>
    <x v="4"/>
    <m/>
    <n v="9.2298980747451867E-2"/>
  </r>
  <r>
    <x v="0"/>
    <s v="FSDUpdate"/>
    <n v="7.3707865168539333E-2"/>
  </r>
  <r>
    <x v="4"/>
    <s v="ModelYCampaign"/>
    <n v="0.35666666666666669"/>
  </r>
  <r>
    <x v="4"/>
    <s v="ModelYCampaign"/>
    <n v="9.9632815002833983E-2"/>
  </r>
  <r>
    <x v="2"/>
    <s v="FSDUpdate"/>
    <n v="0.13707250341997265"/>
  </r>
  <r>
    <x v="0"/>
    <s v="CybertruckLaunch"/>
    <n v="0.12896028558679162"/>
  </r>
  <r>
    <x v="2"/>
    <s v="SustainabilityDrive"/>
    <n v="8.5718409468138843E-2"/>
  </r>
  <r>
    <x v="2"/>
    <m/>
    <n v="6.2467323109097243E-2"/>
  </r>
  <r>
    <x v="2"/>
    <s v="ModelYCampaign"/>
    <n v="0.10005698005698006"/>
  </r>
  <r>
    <x v="0"/>
    <s v="FSDUpdate"/>
    <n v="0.16744313510550835"/>
  </r>
  <r>
    <x v="4"/>
    <s v="ModelYCampaign"/>
    <n v="0.12277759141227776"/>
  </r>
  <r>
    <x v="2"/>
    <s v="ModelYCampaign"/>
    <n v="7.4071349760941527E-2"/>
  </r>
  <r>
    <x v="0"/>
    <s v="FSDUpdate"/>
    <n v="0.17441662408448305"/>
  </r>
  <r>
    <x v="4"/>
    <s v="CybertruckLaunch"/>
    <n v="0.11369088028965829"/>
  </r>
  <r>
    <x v="0"/>
    <s v="CybertruckLaunch"/>
    <n v="0.12942500000000001"/>
  </r>
  <r>
    <x v="2"/>
    <s v="SustainabilityDrive"/>
    <n v="6.2150491965739366E-2"/>
  </r>
  <r>
    <x v="1"/>
    <s v="SustainabilityDrive"/>
    <n v="6.2150491965739366E-2"/>
  </r>
  <r>
    <x v="2"/>
    <m/>
    <n v="0.16769515581610614"/>
  </r>
  <r>
    <x v="4"/>
    <s v="SustainabilityDrive"/>
    <n v="0.11792317271769326"/>
  </r>
  <r>
    <x v="0"/>
    <s v="FSDUpdate"/>
    <n v="8.0158206987475278E-2"/>
  </r>
  <r>
    <x v="0"/>
    <m/>
    <n v="0.31705583756345179"/>
  </r>
  <r>
    <x v="4"/>
    <s v="FSDUpdate"/>
    <n v="0.23414918414918415"/>
  </r>
  <r>
    <x v="0"/>
    <m/>
    <n v="0.32349397590361445"/>
  </r>
  <r>
    <x v="4"/>
    <s v="ModelYCampaign"/>
    <n v="8.0565268065268064E-2"/>
  </r>
  <r>
    <x v="4"/>
    <s v="CybertruckLaunch"/>
    <n v="0.23616777446710979"/>
  </r>
  <r>
    <x v="4"/>
    <s v="CybertruckLaunch"/>
    <n v="0.33618012422360249"/>
  </r>
  <r>
    <x v="2"/>
    <s v="SustainabilityDrive"/>
    <n v="0.14265722032712325"/>
  </r>
  <r>
    <x v="0"/>
    <m/>
    <n v="9.9829463465827106E-2"/>
  </r>
  <r>
    <x v="0"/>
    <s v="FSDUpdate"/>
    <n v="6.9311459413307311E-2"/>
  </r>
  <r>
    <x v="0"/>
    <m/>
    <n v="0.12537731780940059"/>
  </r>
  <r>
    <x v="2"/>
    <m/>
    <n v="0.17291569632044715"/>
  </r>
  <r>
    <x v="4"/>
    <s v="SustainabilityDrive"/>
    <n v="8.9577656675749323E-2"/>
  </r>
  <r>
    <x v="0"/>
    <s v="FSDUpdate"/>
    <n v="0.13106060606060607"/>
  </r>
  <r>
    <x v="0"/>
    <s v="ModelYCampaign"/>
    <n v="0.13493953401503478"/>
  </r>
  <r>
    <x v="2"/>
    <s v="SustainabilityDrive"/>
    <n v="7.172350922350923E-2"/>
  </r>
  <r>
    <x v="2"/>
    <s v="CybertruckLaunch"/>
    <n v="7.1133744304476013E-2"/>
  </r>
  <r>
    <x v="0"/>
    <s v="SustainabilityDrive"/>
    <n v="6.461481657304112E-2"/>
  </r>
  <r>
    <x v="4"/>
    <s v="SustainabilityDrive"/>
    <n v="0.20357370772176134"/>
  </r>
  <r>
    <x v="0"/>
    <m/>
    <n v="0.20871010638297871"/>
  </r>
  <r>
    <x v="0"/>
    <s v="FSDUpdate"/>
    <n v="0.16065573770491803"/>
  </r>
  <r>
    <x v="4"/>
    <s v="CybertruckLaunch"/>
    <n v="9.422796795338674E-2"/>
  </r>
  <r>
    <x v="4"/>
    <s v="ModelYCampaign"/>
    <n v="0.15571802706241816"/>
  </r>
  <r>
    <x v="5"/>
    <s v="ModelYCampaign"/>
    <n v="0.15571802706241816"/>
  </r>
  <r>
    <x v="0"/>
    <m/>
    <n v="0.2316508937960042"/>
  </r>
  <r>
    <x v="0"/>
    <s v="SustainabilityDrive"/>
    <n v="6.9438087973557078E-2"/>
  </r>
  <r>
    <x v="2"/>
    <s v="FSDUpdate"/>
    <n v="0.50192307692307692"/>
  </r>
  <r>
    <x v="4"/>
    <s v="SustainabilityDrive"/>
    <n v="6.5455787978772245E-2"/>
  </r>
  <r>
    <x v="2"/>
    <s v="SustainabilityDrive"/>
    <n v="5.6416400425985093E-2"/>
  </r>
  <r>
    <x v="4"/>
    <m/>
    <n v="0.21636759108210984"/>
  </r>
  <r>
    <x v="1"/>
    <m/>
    <n v="0.21636759108210984"/>
  </r>
  <r>
    <x v="2"/>
    <s v="ModelYCampaign"/>
    <n v="0.15283323095823095"/>
  </r>
  <r>
    <x v="4"/>
    <s v="SustainabilityDrive"/>
    <n v="0.19864505202032423"/>
  </r>
  <r>
    <x v="4"/>
    <s v="CybertruckLaunch"/>
    <n v="7.7291421856639245E-2"/>
  </r>
  <r>
    <x v="2"/>
    <s v="SustainabilityDrive"/>
    <n v="6.3713620488940623E-2"/>
  </r>
  <r>
    <x v="4"/>
    <s v="CybertruckLaunch"/>
    <n v="0.10977802753582468"/>
  </r>
  <r>
    <x v="4"/>
    <s v="SustainabilityDrive"/>
    <n v="0.19511518179295032"/>
  </r>
  <r>
    <x v="2"/>
    <s v="FSDUpdate"/>
    <n v="0.17801355732390214"/>
  </r>
  <r>
    <x v="0"/>
    <s v="SustainabilityDrive"/>
    <n v="0.31965192168237855"/>
  </r>
  <r>
    <x v="0"/>
    <s v="ModelYCampaign"/>
    <n v="0.11489268506351293"/>
  </r>
  <r>
    <x v="0"/>
    <s v="ModelYCampaign"/>
    <n v="0.1095786671562328"/>
  </r>
  <r>
    <x v="0"/>
    <s v="ModelYCampaign"/>
    <n v="0.10793717277486911"/>
  </r>
  <r>
    <x v="2"/>
    <s v="CybertruckLaunch"/>
    <n v="0.11307081114118571"/>
  </r>
  <r>
    <x v="0"/>
    <s v="ModelYCampaign"/>
    <n v="0.21745283018867925"/>
  </r>
  <r>
    <x v="2"/>
    <m/>
    <n v="9.1137810638734856E-2"/>
  </r>
  <r>
    <x v="2"/>
    <s v="SustainabilityDrive"/>
    <n v="0.11508145034156594"/>
  </r>
  <r>
    <x v="0"/>
    <m/>
    <n v="8.6630570595585168E-2"/>
  </r>
  <r>
    <x v="2"/>
    <s v="ModelYCampaign"/>
    <n v="0.23101532992668297"/>
  </r>
  <r>
    <x v="2"/>
    <s v="SustainabilityDrive"/>
    <n v="0.15355188488042157"/>
  </r>
  <r>
    <x v="1"/>
    <s v="SustainabilityDrive"/>
    <n v="0.15355188488042157"/>
  </r>
  <r>
    <x v="2"/>
    <s v="ModelYCampaign"/>
    <n v="0.15405989502933004"/>
  </r>
  <r>
    <x v="0"/>
    <s v="CybertruckLaunch"/>
    <n v="0.14320716458262928"/>
  </r>
  <r>
    <x v="0"/>
    <m/>
    <n v="9.859917557465242E-2"/>
  </r>
  <r>
    <x v="4"/>
    <s v="CybertruckLaunch"/>
    <n v="7.412002573292896E-2"/>
  </r>
  <r>
    <x v="4"/>
    <s v="CybertruckLaunch"/>
    <n v="0.12490884163239112"/>
  </r>
  <r>
    <x v="2"/>
    <s v="FSDUpdate"/>
    <n v="6.8655003457763777E-2"/>
  </r>
  <r>
    <x v="0"/>
    <s v="ModelYCampaign"/>
    <n v="9.8068107400130972E-2"/>
  </r>
  <r>
    <x v="4"/>
    <s v="FSDUpdate"/>
    <n v="7.2739802071170159E-2"/>
  </r>
  <r>
    <x v="0"/>
    <s v="FSDUpdate"/>
    <n v="0.14348370927318296"/>
  </r>
  <r>
    <x v="4"/>
    <m/>
    <n v="0.13809430512016718"/>
  </r>
  <r>
    <x v="0"/>
    <s v="SustainabilityDrive"/>
    <n v="0.6508215962441315"/>
  </r>
  <r>
    <x v="2"/>
    <s v="CybertruckLaunch"/>
    <n v="5.4081095313322801E-2"/>
  </r>
  <r>
    <x v="2"/>
    <s v="FSDUpdate"/>
    <n v="9.1365878393951966E-2"/>
  </r>
  <r>
    <x v="2"/>
    <s v="SustainabilityDrive"/>
    <n v="0.70387596899224802"/>
  </r>
  <r>
    <x v="2"/>
    <m/>
    <n v="7.5280481001673588E-2"/>
  </r>
  <r>
    <x v="2"/>
    <s v="CybertruckLaunch"/>
    <n v="9.023070704558174E-2"/>
  </r>
  <r>
    <x v="4"/>
    <s v="FSDUpdate"/>
    <n v="0.23673521198273673"/>
  </r>
  <r>
    <x v="2"/>
    <s v="SustainabilityDrive"/>
    <n v="0.10132030477519921"/>
  </r>
  <r>
    <x v="0"/>
    <s v="ModelYCampaign"/>
    <n v="0.28696581196581195"/>
  </r>
  <r>
    <x v="4"/>
    <s v="CybertruckLaunch"/>
    <n v="0.13614307931570763"/>
  </r>
  <r>
    <x v="4"/>
    <m/>
    <n v="9.5290736237010829E-2"/>
  </r>
  <r>
    <x v="4"/>
    <s v="FSDUpdate"/>
    <n v="8.4862714173059003E-2"/>
  </r>
  <r>
    <x v="4"/>
    <s v="FSDUpdate"/>
    <n v="8.3726921425504502E-2"/>
  </r>
  <r>
    <x v="0"/>
    <s v="ModelYCampaign"/>
    <n v="8.4946236559139784E-2"/>
  </r>
  <r>
    <x v="2"/>
    <s v="CybertruckLaunch"/>
    <n v="7.2503306878306875E-2"/>
  </r>
  <r>
    <x v="0"/>
    <m/>
    <n v="5.5909322465613857E-2"/>
  </r>
  <r>
    <x v="0"/>
    <s v="FSDUpdate"/>
    <n v="9.9578134817341346E-2"/>
  </r>
  <r>
    <x v="4"/>
    <m/>
    <n v="0.1441326530612245"/>
  </r>
  <r>
    <x v="4"/>
    <s v="FSDUpdate"/>
    <n v="9.9255211647142488E-2"/>
  </r>
  <r>
    <x v="4"/>
    <s v="CybertruckLaunch"/>
    <n v="8.4203612479474554E-2"/>
  </r>
  <r>
    <x v="0"/>
    <s v="SustainabilityDrive"/>
    <n v="0.13667732704931829"/>
  </r>
  <r>
    <x v="2"/>
    <s v="SustainabilityDrive"/>
    <n v="0.13667732704931829"/>
  </r>
  <r>
    <x v="1"/>
    <s v="SustainabilityDrive"/>
    <n v="0.13667732704931829"/>
  </r>
  <r>
    <x v="4"/>
    <s v="FSDUpdate"/>
    <n v="0.12575841147269717"/>
  </r>
  <r>
    <x v="4"/>
    <s v="CybertruckLaunch"/>
    <n v="6.4884520656164318E-2"/>
  </r>
  <r>
    <x v="2"/>
    <s v="FSDUpdate"/>
    <n v="0.19847328244274809"/>
  </r>
  <r>
    <x v="2"/>
    <s v="ModelYCampaign"/>
    <n v="8.5520696919660646E-2"/>
  </r>
  <r>
    <x v="2"/>
    <s v="ModelYCampaign"/>
    <n v="6.246991874522239E-2"/>
  </r>
  <r>
    <x v="4"/>
    <s v="CybertruckLaunch"/>
    <n v="9.0606816292601824E-2"/>
  </r>
  <r>
    <x v="4"/>
    <s v="FSDUpdate"/>
    <n v="8.2108498129342594E-2"/>
  </r>
  <r>
    <x v="0"/>
    <s v="CybertruckLaunch"/>
    <n v="5.7332570758993957E-2"/>
  </r>
  <r>
    <x v="0"/>
    <s v="FSDUpdate"/>
    <n v="0.29713518352730528"/>
  </r>
  <r>
    <x v="2"/>
    <s v="SustainabilityDrive"/>
    <n v="0.1043848167539267"/>
  </r>
  <r>
    <x v="5"/>
    <s v="SustainabilityDrive"/>
    <n v="0.1043848167539267"/>
  </r>
  <r>
    <x v="4"/>
    <s v="CybertruckLaunch"/>
    <n v="0.10768685795253277"/>
  </r>
  <r>
    <x v="2"/>
    <s v="FSDUpdate"/>
    <n v="0.14316214319138981"/>
  </r>
  <r>
    <x v="5"/>
    <s v="FSDUpdate"/>
    <n v="0.14316214319138981"/>
  </r>
  <r>
    <x v="2"/>
    <s v="ModelYCampaign"/>
    <n v="8.6537809426924378E-2"/>
  </r>
  <r>
    <x v="0"/>
    <s v="SustainabilityDrive"/>
    <n v="8.2753164556962022E-2"/>
  </r>
  <r>
    <x v="1"/>
    <s v="SustainabilityDrive"/>
    <n v="8.2753164556962022E-2"/>
  </r>
  <r>
    <x v="0"/>
    <s v="CybertruckLaunch"/>
    <n v="0.48518407662376534"/>
  </r>
  <r>
    <x v="0"/>
    <s v="SustainabilityDrive"/>
    <n v="0.18632075471698112"/>
  </r>
  <r>
    <x v="2"/>
    <s v="ModelYCampaign"/>
    <n v="0.123309241094476"/>
  </r>
  <r>
    <x v="4"/>
    <s v="SustainabilityDrive"/>
    <n v="8.21914819340199E-2"/>
  </r>
  <r>
    <x v="0"/>
    <s v="ModelYCampaign"/>
    <n v="0.37955854126679461"/>
  </r>
  <r>
    <x v="4"/>
    <s v="ModelYCampaign"/>
    <n v="7.2116777745580993E-2"/>
  </r>
  <r>
    <x v="4"/>
    <s v="ModelYCampaign"/>
    <n v="5.8316766070245198E-2"/>
  </r>
  <r>
    <x v="2"/>
    <m/>
    <n v="6.2603126356925748E-2"/>
  </r>
  <r>
    <x v="2"/>
    <s v="SustainabilityDrive"/>
    <n v="0.18806848582129482"/>
  </r>
  <r>
    <x v="2"/>
    <s v="SustainabilityDrive"/>
    <n v="0.25701459034792368"/>
  </r>
  <r>
    <x v="4"/>
    <m/>
    <n v="1.8129251700680271"/>
  </r>
  <r>
    <x v="2"/>
    <m/>
    <n v="0.15989220750056141"/>
  </r>
  <r>
    <x v="0"/>
    <s v="CybertruckLaunch"/>
    <n v="0.11143487163332809"/>
  </r>
  <r>
    <x v="5"/>
    <s v="CybertruckLaunch"/>
    <n v="0.11143487163332809"/>
  </r>
  <r>
    <x v="2"/>
    <m/>
    <n v="6.2129685107516146E-2"/>
  </r>
  <r>
    <x v="2"/>
    <s v="FSDUpdate"/>
    <n v="0.32083531086853345"/>
  </r>
  <r>
    <x v="4"/>
    <m/>
    <n v="5.6653298485940883E-2"/>
  </r>
  <r>
    <x v="2"/>
    <m/>
    <n v="0.25537047673750718"/>
  </r>
  <r>
    <x v="0"/>
    <s v="FSDUpdate"/>
    <n v="0.11232349165596919"/>
  </r>
  <r>
    <x v="4"/>
    <s v="CybertruckLaunch"/>
    <n v="8.1808097615085965E-2"/>
  </r>
  <r>
    <x v="2"/>
    <m/>
    <n v="0.13387048227640017"/>
  </r>
  <r>
    <x v="4"/>
    <s v="FSDUpdate"/>
    <n v="7.7512577512577507E-2"/>
  </r>
  <r>
    <x v="0"/>
    <s v="CybertruckLaunch"/>
    <n v="8.5734265734265735E-2"/>
  </r>
  <r>
    <x v="4"/>
    <s v="SustainabilityDrive"/>
    <n v="0.7168674698795181"/>
  </r>
  <r>
    <x v="0"/>
    <s v="SustainabilityDrive"/>
    <n v="7.2969143576826198E-2"/>
  </r>
  <r>
    <x v="2"/>
    <m/>
    <n v="7.5968222442899705E-2"/>
  </r>
  <r>
    <x v="2"/>
    <s v="FSDUpdate"/>
    <n v="0.1283706906360223"/>
  </r>
  <r>
    <x v="0"/>
    <s v="ModelYCampaign"/>
    <n v="0.12943516308671441"/>
  </r>
  <r>
    <x v="1"/>
    <s v="ModelYCampaign"/>
    <n v="0.12943516308671441"/>
  </r>
  <r>
    <x v="4"/>
    <s v="ModelYCampaign"/>
    <n v="0.12943516308671441"/>
  </r>
  <r>
    <x v="0"/>
    <s v="CybertruckLaunch"/>
    <n v="6.7234398994834563E-2"/>
  </r>
  <r>
    <x v="0"/>
    <s v="SustainabilityDrive"/>
    <n v="7.2579365079365077E-2"/>
  </r>
  <r>
    <x v="0"/>
    <m/>
    <n v="0.25062082139446035"/>
  </r>
  <r>
    <x v="4"/>
    <s v="FSDUpdate"/>
    <n v="8.6293505561535699E-2"/>
  </r>
  <r>
    <x v="2"/>
    <s v="FSDUpdate"/>
    <n v="8.6293505561535699E-2"/>
  </r>
  <r>
    <x v="1"/>
    <s v="FSDUpdate"/>
    <n v="8.6293505561535699E-2"/>
  </r>
  <r>
    <x v="2"/>
    <s v="SustainabilityDrive"/>
    <n v="0.17743908486792079"/>
  </r>
  <r>
    <x v="4"/>
    <s v="FSDUpdate"/>
    <n v="0.18519683938186141"/>
  </r>
  <r>
    <x v="0"/>
    <s v="SustainabilityDrive"/>
    <n v="9.7001272669424113E-2"/>
  </r>
  <r>
    <x v="0"/>
    <s v="FSDUpdate"/>
    <n v="0.25869984981763572"/>
  </r>
  <r>
    <x v="4"/>
    <s v="CybertruckLaunch"/>
    <n v="0.12232704402515723"/>
  </r>
  <r>
    <x v="0"/>
    <s v="ModelYCampaign"/>
    <n v="0.23656250000000001"/>
  </r>
  <r>
    <x v="0"/>
    <m/>
    <n v="0.11879910213243547"/>
  </r>
  <r>
    <x v="4"/>
    <m/>
    <n v="0.11879910213243547"/>
  </r>
  <r>
    <x v="3"/>
    <m/>
    <n v="0.11879910213243547"/>
  </r>
  <r>
    <x v="4"/>
    <m/>
    <n v="0.26297968397291194"/>
  </r>
  <r>
    <x v="4"/>
    <s v="ModelYCampaign"/>
    <n v="8.7733440816874911E-2"/>
  </r>
  <r>
    <x v="0"/>
    <m/>
    <n v="7.3170731707317069E-2"/>
  </r>
  <r>
    <x v="0"/>
    <m/>
    <n v="0.11619462599854757"/>
  </r>
  <r>
    <x v="0"/>
    <s v="FSDUpdate"/>
    <n v="0.15761129727142173"/>
  </r>
  <r>
    <x v="4"/>
    <m/>
    <n v="8.6897539284772202E-2"/>
  </r>
  <r>
    <x v="0"/>
    <s v="ModelYCampaign"/>
    <n v="0.13331166419019316"/>
  </r>
  <r>
    <x v="0"/>
    <s v="SustainabilityDrive"/>
    <n v="0.11996283514733209"/>
  </r>
  <r>
    <x v="4"/>
    <s v="ModelYCampaign"/>
    <n v="5.7936488444630008E-2"/>
  </r>
  <r>
    <x v="4"/>
    <s v="ModelYCampaign"/>
    <n v="7.9915048543689318E-2"/>
  </r>
  <r>
    <x v="4"/>
    <s v="ModelYCampaign"/>
    <n v="7.9915048543689318E-2"/>
  </r>
  <r>
    <x v="3"/>
    <s v="ModelYCampaign"/>
    <n v="7.9915048543689318E-2"/>
  </r>
  <r>
    <x v="4"/>
    <s v="ModelYCampaign"/>
    <n v="0.2023049153013052"/>
  </r>
  <r>
    <x v="2"/>
    <s v="CybertruckLaunch"/>
    <n v="0.25771055753262156"/>
  </r>
  <r>
    <x v="2"/>
    <s v="FSDUpdate"/>
    <n v="8.7752275425405618E-2"/>
  </r>
  <r>
    <x v="4"/>
    <s v="FSDUpdate"/>
    <n v="8.7752275425405618E-2"/>
  </r>
  <r>
    <x v="3"/>
    <s v="FSDUpdate"/>
    <n v="8.7752275425405618E-2"/>
  </r>
  <r>
    <x v="4"/>
    <s v="CybertruckLaunch"/>
    <n v="8.2835359571399134E-2"/>
  </r>
  <r>
    <x v="2"/>
    <m/>
    <n v="0.15339966832504145"/>
  </r>
  <r>
    <x v="0"/>
    <s v="ModelYCampaign"/>
    <n v="0.26876680752977333"/>
  </r>
  <r>
    <x v="2"/>
    <s v="ModelYCampaign"/>
    <n v="0.53389830508474578"/>
  </r>
  <r>
    <x v="4"/>
    <s v="SustainabilityDrive"/>
    <n v="0.25279701651571657"/>
  </r>
  <r>
    <x v="2"/>
    <s v="FSDUpdate"/>
    <n v="0.10086880280567512"/>
  </r>
  <r>
    <x v="0"/>
    <m/>
    <n v="6.3947934081681396E-2"/>
  </r>
  <r>
    <x v="4"/>
    <s v="CybertruckLaunch"/>
    <n v="8.4062694239588759E-2"/>
  </r>
  <r>
    <x v="2"/>
    <s v="ModelYCampaign"/>
    <n v="0.22157421618066214"/>
  </r>
  <r>
    <x v="2"/>
    <s v="FSDUpdate"/>
    <m/>
  </r>
  <r>
    <x v="4"/>
    <s v="ModelYCampaign"/>
    <m/>
  </r>
  <r>
    <x v="2"/>
    <s v="FSDUpdate"/>
    <m/>
  </r>
  <r>
    <x v="4"/>
    <s v="SustainabilityDrive"/>
    <m/>
  </r>
  <r>
    <x v="2"/>
    <s v="SustainabilityDrive"/>
    <m/>
  </r>
  <r>
    <x v="4"/>
    <s v="FSDUpdate"/>
    <m/>
  </r>
  <r>
    <x v="2"/>
    <s v="ModelYCampaign"/>
    <m/>
  </r>
  <r>
    <x v="0"/>
    <s v="CybertruckLaunch"/>
    <m/>
  </r>
  <r>
    <x v="4"/>
    <s v="SustainabilityDrive"/>
    <m/>
  </r>
  <r>
    <x v="2"/>
    <s v="ModelYCampaign"/>
    <m/>
  </r>
  <r>
    <x v="4"/>
    <s v="SustainabilityDrive"/>
    <m/>
  </r>
  <r>
    <x v="2"/>
    <s v="SustainabilityDrive"/>
    <m/>
  </r>
  <r>
    <x v="1"/>
    <s v="SustainabilityDrive"/>
    <m/>
  </r>
  <r>
    <x v="4"/>
    <s v="ModelYCampaign"/>
    <m/>
  </r>
  <r>
    <x v="0"/>
    <s v="FSDUpdate"/>
    <m/>
  </r>
  <r>
    <x v="0"/>
    <s v="ModelYCampaign"/>
    <m/>
  </r>
  <r>
    <x v="2"/>
    <s v="SustainabilityDrive"/>
    <m/>
  </r>
  <r>
    <x v="4"/>
    <m/>
    <m/>
  </r>
  <r>
    <x v="0"/>
    <s v="FSDUpdate"/>
    <m/>
  </r>
  <r>
    <x v="4"/>
    <s v="CybertruckLaunch"/>
    <m/>
  </r>
  <r>
    <x v="0"/>
    <s v="FSDUpdate"/>
    <m/>
  </r>
  <r>
    <x v="0"/>
    <m/>
    <m/>
  </r>
  <r>
    <x v="4"/>
    <s v="SustainabilityDrive"/>
    <m/>
  </r>
  <r>
    <x v="4"/>
    <s v="SustainabilityDrive"/>
    <m/>
  </r>
  <r>
    <x v="2"/>
    <m/>
    <m/>
  </r>
  <r>
    <x v="1"/>
    <m/>
    <m/>
  </r>
  <r>
    <x v="4"/>
    <s v="CybertruckLaunch"/>
    <m/>
  </r>
  <r>
    <x v="4"/>
    <s v="FSDUpdate"/>
    <m/>
  </r>
  <r>
    <x v="0"/>
    <s v="ModelYCampaign"/>
    <m/>
  </r>
  <r>
    <x v="2"/>
    <s v="ModelYCampaign"/>
    <m/>
  </r>
  <r>
    <x v="1"/>
    <s v="ModelYCampaign"/>
    <m/>
  </r>
  <r>
    <x v="2"/>
    <s v="SustainabilityDrive"/>
    <m/>
  </r>
  <r>
    <x v="5"/>
    <s v="SustainabilityDrive"/>
    <m/>
  </r>
  <r>
    <x v="4"/>
    <s v="SustainabilityDrive"/>
    <m/>
  </r>
  <r>
    <x v="2"/>
    <s v="FSDUpdate"/>
    <m/>
  </r>
  <r>
    <x v="0"/>
    <s v="FSDUpdate"/>
    <m/>
  </r>
  <r>
    <x v="2"/>
    <s v="CybertruckLaunch"/>
    <m/>
  </r>
  <r>
    <x v="4"/>
    <s v="CybertruckLaunch"/>
    <m/>
  </r>
  <r>
    <x v="3"/>
    <s v="CybertruckLaunch"/>
    <m/>
  </r>
</pivotCacheRecords>
</file>

<file path=xl/pivotCache/pivotCacheRecords9.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39">
  <r>
    <s v="P001"/>
    <s v="Twitter"/>
    <d v="2024-12-23T00:00:00"/>
    <x v="0"/>
    <s v="Check out our latest reel on twitter!"/>
    <n v="1461"/>
    <n v="184"/>
    <n v="344"/>
    <n v="21915"/>
    <n v="21675"/>
    <n v="15"/>
    <x v="0"/>
    <s v="CybertruckLaunch"/>
    <n v="9.0759753593429152E-2"/>
  </r>
  <r>
    <s v="P001"/>
    <s v="Twitter"/>
    <d v="2024-12-23T00:00:00"/>
    <x v="0"/>
    <s v="Check out our latest reel on twitter!"/>
    <n v="1461"/>
    <n v="184"/>
    <n v="344"/>
    <n v="21915"/>
    <n v="21675"/>
    <n v="15"/>
    <x v="1"/>
    <s v="CybertruckLaunch"/>
    <n v="9.0759753593429152E-2"/>
  </r>
  <r>
    <s v="P002"/>
    <s v="Twitter"/>
    <d v="2025-04-03T00:00:00"/>
    <x v="1"/>
    <s v="Check out our latest text on twitter!"/>
    <n v="4054"/>
    <n v="389"/>
    <n v="493"/>
    <n v="64864"/>
    <n v="64383"/>
    <n v="117"/>
    <x v="2"/>
    <s v="ModelYCampaign"/>
    <n v="7.6097681302417369E-2"/>
  </r>
  <r>
    <s v="P002"/>
    <s v="Twitter"/>
    <d v="2025-04-03T00:00:00"/>
    <x v="1"/>
    <s v="Check out our latest text on twitter!"/>
    <n v="4054"/>
    <n v="389"/>
    <n v="493"/>
    <n v="64864"/>
    <n v="64383"/>
    <n v="117"/>
    <x v="3"/>
    <s v="ModelYCampaign"/>
    <n v="7.6097681302417369E-2"/>
  </r>
  <r>
    <s v="P003"/>
    <s v="YouTube"/>
    <d v="2025-05-12T00:00:00"/>
    <x v="0"/>
    <s v="Check out our latest reel on youtube!"/>
    <n v="2795"/>
    <n v="105"/>
    <n v="49"/>
    <n v="53105"/>
    <n v="52307"/>
    <n v="204"/>
    <x v="2"/>
    <s v="FSDUpdate"/>
    <n v="5.5531494209584788E-2"/>
  </r>
  <r>
    <s v="P004"/>
    <s v="Instagram"/>
    <d v="2024-08-12T00:00:00"/>
    <x v="2"/>
    <s v="Check out our latest story on instagram!"/>
    <n v="2404"/>
    <n v="363"/>
    <n v="138"/>
    <n v="19232"/>
    <n v="18636"/>
    <n v="128"/>
    <x v="4"/>
    <s v="SustainabilityDrive"/>
    <n v="0.15105033277870217"/>
  </r>
  <r>
    <s v="P005"/>
    <s v="YouTube"/>
    <d v="2024-06-26T00:00:00"/>
    <x v="0"/>
    <s v="Check out our latest reel on youtube!"/>
    <n v="3557"/>
    <n v="687"/>
    <n v="424"/>
    <n v="71140"/>
    <n v="70701"/>
    <n v="224"/>
    <x v="4"/>
    <s v="CybertruckLaunch"/>
    <n v="6.5617093055946027E-2"/>
  </r>
  <r>
    <s v="P005"/>
    <s v="YouTube"/>
    <d v="2024-06-26T00:00:00"/>
    <x v="0"/>
    <s v="Check out our latest reel on youtube!"/>
    <n v="3557"/>
    <n v="687"/>
    <n v="424"/>
    <n v="71140"/>
    <n v="70701"/>
    <n v="224"/>
    <x v="2"/>
    <s v="CybertruckLaunch"/>
    <n v="6.5617093055946027E-2"/>
  </r>
  <r>
    <s v="P006"/>
    <s v="Facebook"/>
    <d v="2024-10-31T00:00:00"/>
    <x v="3"/>
    <s v="Check out our latest carousel on facebook!"/>
    <n v="2945"/>
    <n v="930"/>
    <n v="355"/>
    <n v="23560"/>
    <n v="23275"/>
    <n v="256"/>
    <x v="2"/>
    <s v="ModelYCampaign"/>
    <n v="0.17954159592529711"/>
  </r>
  <r>
    <s v="P007"/>
    <s v="Twitter"/>
    <d v="2024-06-24T00:00:00"/>
    <x v="3"/>
    <s v="Check out our latest carousel on twitter!"/>
    <n v="3860"/>
    <n v="201"/>
    <n v="279"/>
    <n v="61760"/>
    <n v="61660"/>
    <n v="235"/>
    <x v="2"/>
    <s v="ModelYCampaign"/>
    <n v="7.0272020725388601E-2"/>
  </r>
  <r>
    <s v="P008"/>
    <s v="YouTube"/>
    <d v="2024-07-13T00:00:00"/>
    <x v="4"/>
    <s v="Check out our latest image on youtube!"/>
    <n v="3929"/>
    <n v="262"/>
    <n v="278"/>
    <n v="43219"/>
    <n v="42841"/>
    <n v="39"/>
    <x v="4"/>
    <s v="SustainabilityDrive"/>
    <n v="0.10340359564080613"/>
  </r>
  <r>
    <s v="P009"/>
    <s v="Facebook"/>
    <d v="2024-08-30T00:00:00"/>
    <x v="1"/>
    <s v="Check out our latest text on facebook!"/>
    <n v="3784"/>
    <n v="808"/>
    <n v="404"/>
    <n v="56760"/>
    <n v="56343"/>
    <n v="131"/>
    <x v="2"/>
    <s v="ModelYCampaign"/>
    <n v="8.8019732205778717E-2"/>
  </r>
  <r>
    <s v="P010"/>
    <s v="Facebook"/>
    <d v="2025-03-11T00:00:00"/>
    <x v="4"/>
    <s v="Check out our latest image on facebook!"/>
    <n v="4241"/>
    <n v="902"/>
    <n v="47"/>
    <n v="72097"/>
    <n v="71598"/>
    <n v="167"/>
    <x v="2"/>
    <s v="ModelYCampaign"/>
    <n v="7.198635172059864E-2"/>
  </r>
  <r>
    <s v="P011"/>
    <s v="Instagram"/>
    <d v="2025-02-02T00:00:00"/>
    <x v="2"/>
    <s v="Check out our latest story on instagram!"/>
    <n v="1792"/>
    <n v="614"/>
    <n v="497"/>
    <n v="25088"/>
    <n v="24675"/>
    <n v="65"/>
    <x v="0"/>
    <s v="SustainabilityDrive"/>
    <n v="0.11571269132653061"/>
  </r>
  <r>
    <s v="P012"/>
    <s v="Facebook"/>
    <d v="2024-07-21T00:00:00"/>
    <x v="0"/>
    <s v="Check out our latest reel on facebook!"/>
    <n v="1946"/>
    <n v="686"/>
    <n v="377"/>
    <n v="23352"/>
    <n v="22982"/>
    <n v="213"/>
    <x v="0"/>
    <s v="FSDUpdate"/>
    <n v="0.12885405960945528"/>
  </r>
  <r>
    <s v="P013"/>
    <s v="YouTube"/>
    <d v="2024-11-18T00:00:00"/>
    <x v="3"/>
    <s v="Check out our latest carousel on youtube!"/>
    <n v="1171"/>
    <n v="286"/>
    <n v="231"/>
    <n v="22249"/>
    <n v="21282"/>
    <n v="114"/>
    <x v="4"/>
    <s v="CybertruckLaunch"/>
    <n v="7.5868578363072495E-2"/>
  </r>
  <r>
    <s v="P014"/>
    <s v="Facebook"/>
    <d v="2025-02-16T00:00:00"/>
    <x v="2"/>
    <s v="Check out our latest story on facebook!"/>
    <n v="4242"/>
    <n v="555"/>
    <n v="131"/>
    <n v="33936"/>
    <n v="33802"/>
    <n v="265"/>
    <x v="0"/>
    <m/>
    <n v="0.14521452145214522"/>
  </r>
  <r>
    <s v="P015"/>
    <s v="Facebook"/>
    <d v="2024-10-24T00:00:00"/>
    <x v="5"/>
    <s v="Check out our latest video on facebook!"/>
    <n v="3888"/>
    <n v="604"/>
    <n v="128"/>
    <n v="77760"/>
    <n v="77167"/>
    <n v="20"/>
    <x v="0"/>
    <s v="CybertruckLaunch"/>
    <n v="5.941358024691358E-2"/>
  </r>
  <r>
    <s v="P016"/>
    <s v="Facebook"/>
    <d v="2024-08-26T00:00:00"/>
    <x v="1"/>
    <s v="Check out our latest text on facebook!"/>
    <n v="3452"/>
    <n v="377"/>
    <n v="360"/>
    <n v="55232"/>
    <n v="55075"/>
    <n v="87"/>
    <x v="0"/>
    <s v="FSDUpdate"/>
    <n v="7.5843713789107758E-2"/>
  </r>
  <r>
    <s v="P017"/>
    <s v="Facebook"/>
    <d v="2025-05-05T00:00:00"/>
    <x v="1"/>
    <s v="Check out our latest text on facebook!"/>
    <n v="4441"/>
    <n v="511"/>
    <n v="70"/>
    <n v="53292"/>
    <n v="53082"/>
    <n v="159"/>
    <x v="4"/>
    <s v="SustainabilityDrive"/>
    <n v="9.4235532537716729E-2"/>
  </r>
  <r>
    <s v="P018"/>
    <s v="Instagram"/>
    <d v="2024-08-19T00:00:00"/>
    <x v="0"/>
    <s v="Check out our latest reel on instagram!"/>
    <n v="3000"/>
    <n v="382"/>
    <n v="325"/>
    <n v="36000"/>
    <n v="35819"/>
    <n v="19"/>
    <x v="0"/>
    <s v="CybertruckLaunch"/>
    <n v="0.10297222222222223"/>
  </r>
  <r>
    <s v="P019"/>
    <s v="Instagram"/>
    <d v="2024-06-23T00:00:00"/>
    <x v="5"/>
    <s v="Check out our latest video on instagram!"/>
    <n v="1071"/>
    <n v="519"/>
    <n v="22"/>
    <n v="16065"/>
    <n v="15865"/>
    <n v="103"/>
    <x v="2"/>
    <s v="SustainabilityDrive"/>
    <n v="0.10034235916588857"/>
  </r>
  <r>
    <s v="P020"/>
    <s v="Instagram"/>
    <d v="2024-09-09T00:00:00"/>
    <x v="3"/>
    <s v="Check out our latest carousel on instagram!"/>
    <n v="4054"/>
    <n v="488"/>
    <n v="373"/>
    <n v="77026"/>
    <n v="76881"/>
    <n v="25"/>
    <x v="2"/>
    <s v="CybertruckLaunch"/>
    <n v="6.3809622724794221E-2"/>
  </r>
  <r>
    <s v="P021"/>
    <s v="Instagram"/>
    <d v="2025-01-04T00:00:00"/>
    <x v="0"/>
    <s v="Check out our latest reel on instagram!"/>
    <n v="4838"/>
    <n v="640"/>
    <n v="128"/>
    <n v="72570"/>
    <n v="72396"/>
    <n v="83"/>
    <x v="0"/>
    <s v="SustainabilityDrive"/>
    <n v="7.7249552156538517E-2"/>
  </r>
  <r>
    <s v="P022"/>
    <s v="Facebook"/>
    <d v="2025-02-27T00:00:00"/>
    <x v="1"/>
    <s v="Check out our latest text on facebook!"/>
    <n v="1570"/>
    <n v="187"/>
    <n v="260"/>
    <n v="25120"/>
    <n v="24613"/>
    <n v="133"/>
    <x v="2"/>
    <s v="SustainabilityDrive"/>
    <n v="8.0294585987261149E-2"/>
  </r>
  <r>
    <s v="P023"/>
    <s v="Facebook"/>
    <d v="2024-11-06T00:00:00"/>
    <x v="5"/>
    <s v="Check out our latest video on facebook!"/>
    <n v="1606"/>
    <n v="547"/>
    <n v="316"/>
    <n v="32120"/>
    <n v="31736"/>
    <n v="225"/>
    <x v="2"/>
    <s v="ModelYCampaign"/>
    <n v="7.6867995018679955E-2"/>
  </r>
  <r>
    <s v="P023"/>
    <s v="Facebook"/>
    <d v="2024-11-06T00:00:00"/>
    <x v="5"/>
    <s v="Check out our latest video on facebook!"/>
    <n v="1606"/>
    <n v="547"/>
    <n v="316"/>
    <n v="32120"/>
    <n v="31736"/>
    <n v="225"/>
    <x v="1"/>
    <s v="ModelYCampaign"/>
    <n v="7.6867995018679955E-2"/>
  </r>
  <r>
    <s v="P024"/>
    <s v="Facebook"/>
    <d v="2025-01-23T00:00:00"/>
    <x v="5"/>
    <s v="Check out our latest video on facebook!"/>
    <n v="3961"/>
    <n v="761"/>
    <n v="131"/>
    <n v="67337"/>
    <n v="66615"/>
    <n v="161"/>
    <x v="0"/>
    <s v="FSDUpdate"/>
    <n v="7.2070332803659209E-2"/>
  </r>
  <r>
    <s v="P025"/>
    <s v="Twitter"/>
    <d v="2025-04-10T00:00:00"/>
    <x v="3"/>
    <s v="Check out our latest carousel on twitter!"/>
    <n v="3128"/>
    <n v="211"/>
    <n v="197"/>
    <n v="59432"/>
    <n v="59182"/>
    <n v="238"/>
    <x v="4"/>
    <m/>
    <n v="5.9496567505720827E-2"/>
  </r>
  <r>
    <s v="P026"/>
    <s v="YouTube"/>
    <d v="2025-04-05T00:00:00"/>
    <x v="0"/>
    <s v="Check out our latest reel on youtube!"/>
    <n v="3009"/>
    <n v="413"/>
    <n v="358"/>
    <n v="42126"/>
    <n v="41309"/>
    <n v="211"/>
    <x v="0"/>
    <s v="ModelYCampaign"/>
    <n v="8.9730807577268201E-2"/>
  </r>
  <r>
    <s v="P027"/>
    <s v="YouTube"/>
    <d v="2024-09-17T00:00:00"/>
    <x v="1"/>
    <s v="Check out our latest text on youtube!"/>
    <n v="2076"/>
    <n v="195"/>
    <n v="104"/>
    <n v="33216"/>
    <n v="32244"/>
    <n v="51"/>
    <x v="0"/>
    <s v="SustainabilityDrive"/>
    <n v="7.1501685934489398E-2"/>
  </r>
  <r>
    <s v="P028"/>
    <s v="Instagram"/>
    <d v="2025-03-04T00:00:00"/>
    <x v="5"/>
    <s v="Check out our latest video on instagram!"/>
    <n v="432"/>
    <n v="624"/>
    <n v="123"/>
    <n v="6912"/>
    <n v="6259"/>
    <n v="79"/>
    <x v="0"/>
    <s v="SustainabilityDrive"/>
    <n v="0.17057291666666666"/>
  </r>
  <r>
    <s v="P029"/>
    <s v="Instagram"/>
    <d v="2025-01-31T00:00:00"/>
    <x v="3"/>
    <s v="Check out our latest carousel on instagram!"/>
    <n v="2566"/>
    <n v="118"/>
    <n v="37"/>
    <n v="12830"/>
    <n v="12264"/>
    <n v="221"/>
    <x v="0"/>
    <s v="FSDUpdate"/>
    <n v="0.21208106001558846"/>
  </r>
  <r>
    <s v="P030"/>
    <s v="Instagram"/>
    <d v="2025-02-25T00:00:00"/>
    <x v="5"/>
    <s v="Check out our latest video on instagram!"/>
    <n v="3095"/>
    <n v="39"/>
    <n v="78"/>
    <n v="55710"/>
    <n v="54808"/>
    <n v="93"/>
    <x v="4"/>
    <m/>
    <n v="5.7655717106444085E-2"/>
  </r>
  <r>
    <s v="P031"/>
    <s v="Instagram"/>
    <d v="2024-12-16T00:00:00"/>
    <x v="1"/>
    <s v="Check out our latest text on instagram!"/>
    <n v="438"/>
    <n v="153"/>
    <n v="275"/>
    <n v="3066"/>
    <n v="2701"/>
    <n v="282"/>
    <x v="2"/>
    <s v="ModelYCampaign"/>
    <n v="0.28245270711024134"/>
  </r>
  <r>
    <s v="P032"/>
    <s v="Twitter"/>
    <d v="2024-07-31T00:00:00"/>
    <x v="3"/>
    <s v="Check out our latest carousel on twitter!"/>
    <n v="2278"/>
    <n v="10"/>
    <n v="321"/>
    <n v="13668"/>
    <n v="12676"/>
    <n v="275"/>
    <x v="4"/>
    <s v="CybertruckLaunch"/>
    <n v="0.19088381621305239"/>
  </r>
  <r>
    <s v="P033"/>
    <s v="Facebook"/>
    <d v="2024-08-21T00:00:00"/>
    <x v="4"/>
    <s v="Check out our latest image on facebook!"/>
    <n v="1407"/>
    <n v="400"/>
    <n v="351"/>
    <n v="16884"/>
    <n v="15954"/>
    <n v="113"/>
    <x v="2"/>
    <s v="CybertruckLaunch"/>
    <n v="0.12781331438047855"/>
  </r>
  <r>
    <s v="P034"/>
    <s v="Facebook"/>
    <d v="2025-03-26T00:00:00"/>
    <x v="1"/>
    <s v="Check out our latest text on facebook!"/>
    <n v="1652"/>
    <n v="89"/>
    <n v="357"/>
    <n v="29736"/>
    <n v="28771"/>
    <n v="215"/>
    <x v="2"/>
    <s v="FSDUpdate"/>
    <n v="7.055421038471886E-2"/>
  </r>
  <r>
    <s v="P035"/>
    <s v="Instagram"/>
    <d v="2024-11-30T00:00:00"/>
    <x v="5"/>
    <s v="Check out our latest video on instagram!"/>
    <n v="3775"/>
    <n v="16"/>
    <n v="239"/>
    <n v="33975"/>
    <n v="33310"/>
    <n v="271"/>
    <x v="0"/>
    <s v="ModelYCampaign"/>
    <n v="0.11861662987490802"/>
  </r>
  <r>
    <s v="P036"/>
    <s v="Instagram"/>
    <d v="2025-04-19T00:00:00"/>
    <x v="2"/>
    <s v="Check out our latest story on instagram!"/>
    <n v="4518"/>
    <n v="285"/>
    <n v="383"/>
    <n v="67770"/>
    <n v="67621"/>
    <n v="31"/>
    <x v="4"/>
    <s v="ModelYCampaign"/>
    <n v="7.6523535487678915E-2"/>
  </r>
  <r>
    <s v="P037"/>
    <s v="Facebook"/>
    <d v="2025-01-06T00:00:00"/>
    <x v="3"/>
    <s v="Check out our latest carousel on facebook!"/>
    <n v="3024"/>
    <n v="925"/>
    <n v="350"/>
    <n v="24192"/>
    <n v="23518"/>
    <n v="36"/>
    <x v="4"/>
    <s v="ModelYCampaign"/>
    <n v="0.17770337301587302"/>
  </r>
  <r>
    <s v="P038"/>
    <s v="YouTube"/>
    <d v="2025-02-17T00:00:00"/>
    <x v="0"/>
    <s v="Check out our latest reel on youtube!"/>
    <n v="3138"/>
    <n v="123"/>
    <n v="291"/>
    <n v="28242"/>
    <n v="27550"/>
    <n v="87"/>
    <x v="2"/>
    <s v="SustainabilityDrive"/>
    <n v="0.12577012959422137"/>
  </r>
  <r>
    <s v="P039"/>
    <s v="Facebook"/>
    <d v="2024-11-25T00:00:00"/>
    <x v="4"/>
    <s v="Check out our latest image on facebook!"/>
    <n v="3564"/>
    <n v="629"/>
    <n v="177"/>
    <n v="60588"/>
    <n v="59627"/>
    <n v="92"/>
    <x v="2"/>
    <m/>
    <n v="7.2126493695121141E-2"/>
  </r>
  <r>
    <s v="P040"/>
    <s v="Twitter"/>
    <d v="2025-03-07T00:00:00"/>
    <x v="4"/>
    <s v="Check out our latest image on twitter!"/>
    <n v="4750"/>
    <n v="151"/>
    <n v="415"/>
    <n v="38000"/>
    <n v="37792"/>
    <n v="299"/>
    <x v="4"/>
    <s v="SustainabilityDrive"/>
    <n v="0.13989473684210527"/>
  </r>
  <r>
    <s v="P041"/>
    <s v="Instagram"/>
    <d v="2025-03-08T00:00:00"/>
    <x v="0"/>
    <s v="Check out our latest reel on instagram!"/>
    <n v="456"/>
    <n v="629"/>
    <n v="428"/>
    <n v="8208"/>
    <n v="7377"/>
    <n v="205"/>
    <x v="0"/>
    <s v="SustainabilityDrive"/>
    <n v="0.18433235867446393"/>
  </r>
  <r>
    <s v="P042"/>
    <s v="YouTube"/>
    <d v="2025-03-05T00:00:00"/>
    <x v="0"/>
    <s v="Check out our latest reel on youtube!"/>
    <n v="1543"/>
    <n v="820"/>
    <n v="333"/>
    <n v="12344"/>
    <n v="11496"/>
    <n v="241"/>
    <x v="4"/>
    <m/>
    <n v="0.21840570317563188"/>
  </r>
  <r>
    <s v="P043"/>
    <s v="Instagram"/>
    <d v="2024-12-14T00:00:00"/>
    <x v="3"/>
    <s v="Check out our latest carousel on instagram!"/>
    <n v="2174"/>
    <n v="658"/>
    <n v="15"/>
    <n v="13044"/>
    <n v="12206"/>
    <n v="137"/>
    <x v="2"/>
    <s v="FSDUpdate"/>
    <n v="0.21826126954921804"/>
  </r>
  <r>
    <s v="P044"/>
    <s v="Twitter"/>
    <d v="2025-03-02T00:00:00"/>
    <x v="4"/>
    <s v="Check out our latest image on twitter!"/>
    <n v="2358"/>
    <n v="784"/>
    <n v="344"/>
    <n v="35370"/>
    <n v="34475"/>
    <n v="216"/>
    <x v="2"/>
    <m/>
    <n v="9.8558100084817649E-2"/>
  </r>
  <r>
    <s v="P045"/>
    <s v="Facebook"/>
    <d v="2024-11-01T00:00:00"/>
    <x v="5"/>
    <s v="Check out our latest video on facebook!"/>
    <n v="3371"/>
    <n v="106"/>
    <n v="327"/>
    <n v="50565"/>
    <n v="49816"/>
    <n v="176"/>
    <x v="0"/>
    <s v="CybertruckLaunch"/>
    <n v="7.5229902106199939E-2"/>
  </r>
  <r>
    <s v="P046"/>
    <s v="Twitter"/>
    <d v="2025-05-02T00:00:00"/>
    <x v="5"/>
    <s v="Check out our latest video on twitter!"/>
    <n v="1108"/>
    <n v="177"/>
    <n v="212"/>
    <n v="8864"/>
    <n v="8710"/>
    <n v="97"/>
    <x v="2"/>
    <s v="SustainabilityDrive"/>
    <n v="0.16888537906137185"/>
  </r>
  <r>
    <s v="P047"/>
    <s v="Twitter"/>
    <d v="2025-02-24T00:00:00"/>
    <x v="3"/>
    <s v="Check out our latest carousel on twitter!"/>
    <n v="2704"/>
    <n v="752"/>
    <n v="153"/>
    <n v="21632"/>
    <n v="20792"/>
    <n v="127"/>
    <x v="0"/>
    <m/>
    <n v="0.16683616863905326"/>
  </r>
  <r>
    <s v="P048"/>
    <s v="Twitter"/>
    <d v="2025-03-11T00:00:00"/>
    <x v="2"/>
    <s v="Check out our latest story on twitter!"/>
    <n v="1950"/>
    <n v="295"/>
    <n v="478"/>
    <n v="37050"/>
    <n v="36272"/>
    <n v="119"/>
    <x v="2"/>
    <m/>
    <n v="7.349527665317139E-2"/>
  </r>
  <r>
    <s v="P049"/>
    <s v="Twitter"/>
    <d v="2024-06-10T00:00:00"/>
    <x v="2"/>
    <s v="Check out our latest story on twitter!"/>
    <n v="2164"/>
    <n v="549"/>
    <n v="274"/>
    <n v="28132"/>
    <n v="27361"/>
    <n v="177"/>
    <x v="2"/>
    <s v="SustainabilityDrive"/>
    <n v="0.10617801791554102"/>
  </r>
  <r>
    <s v="P050"/>
    <s v="YouTube"/>
    <d v="2024-07-03T00:00:00"/>
    <x v="2"/>
    <s v="Check out our latest story on youtube!"/>
    <n v="2754"/>
    <n v="130"/>
    <n v="90"/>
    <n v="22032"/>
    <n v="21288"/>
    <n v="112"/>
    <x v="2"/>
    <s v="FSDUpdate"/>
    <n v="0.13498547567175018"/>
  </r>
  <r>
    <s v="P051"/>
    <s v="Facebook"/>
    <d v="2024-06-13T00:00:00"/>
    <x v="3"/>
    <s v="Check out our latest carousel on facebook!"/>
    <n v="2200"/>
    <n v="504"/>
    <n v="239"/>
    <n v="37400"/>
    <n v="36938"/>
    <n v="225"/>
    <x v="0"/>
    <s v="ModelYCampaign"/>
    <n v="7.8689839572192513E-2"/>
  </r>
  <r>
    <s v="P052"/>
    <s v="Facebook"/>
    <d v="2025-01-03T00:00:00"/>
    <x v="4"/>
    <s v="Check out our latest image on facebook!"/>
    <n v="947"/>
    <n v="338"/>
    <n v="350"/>
    <n v="10417"/>
    <n v="9730"/>
    <n v="34"/>
    <x v="2"/>
    <s v="SustainabilityDrive"/>
    <n v="0.1569549774407219"/>
  </r>
  <r>
    <s v="P053"/>
    <s v="YouTube"/>
    <d v="2025-02-24T00:00:00"/>
    <x v="3"/>
    <s v="Check out our latest carousel on youtube!"/>
    <n v="804"/>
    <n v="639"/>
    <n v="43"/>
    <n v="4020"/>
    <n v="3144"/>
    <n v="11"/>
    <x v="4"/>
    <m/>
    <n v="0.36965174129353234"/>
  </r>
  <r>
    <s v="P053"/>
    <s v="YouTube"/>
    <d v="2025-02-24T00:00:00"/>
    <x v="3"/>
    <s v="Check out our latest carousel on youtube!"/>
    <n v="804"/>
    <n v="639"/>
    <n v="43"/>
    <n v="4020"/>
    <n v="3144"/>
    <n v="11"/>
    <x v="3"/>
    <m/>
    <n v="0.36965174129353234"/>
  </r>
  <r>
    <s v="P054"/>
    <s v="YouTube"/>
    <d v="2025-03-13T00:00:00"/>
    <x v="3"/>
    <s v="Check out our latest carousel on youtube!"/>
    <n v="1686"/>
    <n v="904"/>
    <n v="472"/>
    <n v="18546"/>
    <n v="18171"/>
    <n v="52"/>
    <x v="0"/>
    <s v="ModelYCampaign"/>
    <n v="0.16510298716704411"/>
  </r>
  <r>
    <s v="P055"/>
    <s v="Facebook"/>
    <d v="2024-06-17T00:00:00"/>
    <x v="4"/>
    <s v="Check out our latest image on facebook!"/>
    <n v="1226"/>
    <n v="119"/>
    <n v="7"/>
    <n v="14712"/>
    <n v="14049"/>
    <n v="123"/>
    <x v="4"/>
    <s v="SustainabilityDrive"/>
    <n v="9.1897770527460579E-2"/>
  </r>
  <r>
    <s v="P056"/>
    <s v="Facebook"/>
    <d v="2024-12-18T00:00:00"/>
    <x v="3"/>
    <s v="Check out our latest carousel on facebook!"/>
    <n v="2946"/>
    <n v="498"/>
    <n v="367"/>
    <n v="29460"/>
    <n v="28527"/>
    <n v="60"/>
    <x v="0"/>
    <s v="FSDUpdate"/>
    <n v="0.12936184657162253"/>
  </r>
  <r>
    <s v="P057"/>
    <s v="Twitter"/>
    <d v="2024-10-21T00:00:00"/>
    <x v="5"/>
    <s v="Check out our latest video on twitter!"/>
    <n v="2825"/>
    <n v="535"/>
    <n v="295"/>
    <n v="45200"/>
    <n v="44739"/>
    <n v="169"/>
    <x v="2"/>
    <s v="CybertruckLaunch"/>
    <n v="8.0862831858407078E-2"/>
  </r>
  <r>
    <s v="P058"/>
    <s v="Instagram"/>
    <d v="2025-04-15T00:00:00"/>
    <x v="0"/>
    <s v="Check out our latest reel on instagram!"/>
    <n v="103"/>
    <n v="770"/>
    <n v="19"/>
    <n v="1030"/>
    <n v="410"/>
    <n v="262"/>
    <x v="2"/>
    <s v="SustainabilityDrive"/>
    <n v="0.86601941747572819"/>
  </r>
  <r>
    <s v="P059"/>
    <s v="Instagram"/>
    <d v="2024-06-22T00:00:00"/>
    <x v="1"/>
    <s v="Check out our latest text on instagram!"/>
    <n v="2180"/>
    <n v="263"/>
    <n v="387"/>
    <n v="30520"/>
    <n v="30059"/>
    <n v="174"/>
    <x v="4"/>
    <m/>
    <n v="9.2726081258191345E-2"/>
  </r>
  <r>
    <s v="P060"/>
    <s v="Instagram"/>
    <d v="2025-01-28T00:00:00"/>
    <x v="5"/>
    <s v="Check out our latest video on instagram!"/>
    <n v="904"/>
    <n v="973"/>
    <n v="63"/>
    <n v="11752"/>
    <n v="11580"/>
    <n v="84"/>
    <x v="4"/>
    <s v="FSDUpdate"/>
    <n v="0.1650782845473111"/>
  </r>
  <r>
    <s v="P060"/>
    <s v="Instagram"/>
    <d v="2025-01-28T00:00:00"/>
    <x v="5"/>
    <s v="Check out our latest video on instagram!"/>
    <n v="904"/>
    <n v="973"/>
    <n v="63"/>
    <n v="11752"/>
    <n v="11580"/>
    <n v="84"/>
    <x v="2"/>
    <s v="FSDUpdate"/>
    <n v="0.1650782845473111"/>
  </r>
  <r>
    <s v="P060"/>
    <s v="Instagram"/>
    <d v="2025-01-28T00:00:00"/>
    <x v="5"/>
    <s v="Check out our latest video on instagram!"/>
    <n v="904"/>
    <n v="973"/>
    <n v="63"/>
    <n v="11752"/>
    <n v="11580"/>
    <n v="84"/>
    <x v="1"/>
    <s v="FSDUpdate"/>
    <n v="0.1650782845473111"/>
  </r>
  <r>
    <s v="P061"/>
    <s v="Twitter"/>
    <d v="2024-09-05T00:00:00"/>
    <x v="5"/>
    <s v="Check out our latest video on twitter!"/>
    <n v="4886"/>
    <n v="983"/>
    <n v="409"/>
    <n v="43974"/>
    <n v="43239"/>
    <n v="65"/>
    <x v="2"/>
    <s v="CybertruckLaunch"/>
    <n v="0.14276618001546368"/>
  </r>
  <r>
    <s v="P062"/>
    <s v="Twitter"/>
    <d v="2024-11-22T00:00:00"/>
    <x v="3"/>
    <s v="Check out our latest carousel on twitter!"/>
    <n v="53"/>
    <n v="81"/>
    <n v="379"/>
    <n v="954"/>
    <n v="7"/>
    <n v="148"/>
    <x v="2"/>
    <s v="FSDUpdate"/>
    <n v="0.53773584905660377"/>
  </r>
  <r>
    <s v="P063"/>
    <s v="Twitter"/>
    <d v="2024-07-31T00:00:00"/>
    <x v="3"/>
    <s v="Check out our latest carousel on twitter!"/>
    <n v="4507"/>
    <n v="217"/>
    <n v="13"/>
    <n v="90140"/>
    <n v="89591"/>
    <n v="125"/>
    <x v="0"/>
    <s v="FSDUpdate"/>
    <n v="5.2551586421122697E-2"/>
  </r>
  <r>
    <s v="P064"/>
    <s v="Facebook"/>
    <d v="2024-08-17T00:00:00"/>
    <x v="4"/>
    <s v="Check out our latest image on facebook!"/>
    <n v="2878"/>
    <n v="248"/>
    <n v="416"/>
    <n v="43170"/>
    <n v="42667"/>
    <n v="75"/>
    <x v="0"/>
    <s v="FSDUpdate"/>
    <n v="8.2047718322909427E-2"/>
  </r>
  <r>
    <s v="P065"/>
    <s v="Instagram"/>
    <d v="2025-03-28T00:00:00"/>
    <x v="2"/>
    <s v="Check out our latest story on instagram!"/>
    <n v="1881"/>
    <n v="501"/>
    <n v="99"/>
    <n v="20691"/>
    <n v="19987"/>
    <n v="289"/>
    <x v="4"/>
    <m/>
    <n v="0.11990720603160794"/>
  </r>
  <r>
    <s v="P066"/>
    <s v="Twitter"/>
    <d v="2024-07-26T00:00:00"/>
    <x v="3"/>
    <s v="Check out our latest carousel on twitter!"/>
    <n v="432"/>
    <n v="171"/>
    <n v="280"/>
    <n v="3024"/>
    <n v="2285"/>
    <n v="184"/>
    <x v="4"/>
    <s v="CybertruckLaunch"/>
    <n v="0.29199735449735448"/>
  </r>
  <r>
    <s v="P067"/>
    <s v="Facebook"/>
    <d v="2025-03-29T00:00:00"/>
    <x v="3"/>
    <s v="Check out our latest carousel on facebook!"/>
    <n v="4712"/>
    <n v="568"/>
    <n v="127"/>
    <n v="84816"/>
    <n v="84691"/>
    <n v="100"/>
    <x v="4"/>
    <s v="FSDUpdate"/>
    <n v="6.3749764195434822E-2"/>
  </r>
  <r>
    <s v="P068"/>
    <s v="Instagram"/>
    <d v="2024-12-08T00:00:00"/>
    <x v="2"/>
    <s v="Check out our latest story on instagram!"/>
    <n v="2610"/>
    <n v="126"/>
    <n v="288"/>
    <n v="15660"/>
    <n v="15145"/>
    <n v="73"/>
    <x v="4"/>
    <m/>
    <n v="0.19310344827586207"/>
  </r>
  <r>
    <s v="P069"/>
    <s v="Twitter"/>
    <d v="2025-03-08T00:00:00"/>
    <x v="1"/>
    <s v="Check out our latest text on twitter!"/>
    <n v="1292"/>
    <n v="626"/>
    <n v="496"/>
    <n v="25840"/>
    <n v="24916"/>
    <n v="149"/>
    <x v="0"/>
    <s v="FSDUpdate"/>
    <n v="9.3421052631578946E-2"/>
  </r>
  <r>
    <s v="P070"/>
    <s v="Facebook"/>
    <d v="2025-04-02T00:00:00"/>
    <x v="5"/>
    <s v="Check out our latest video on facebook!"/>
    <n v="199"/>
    <n v="772"/>
    <n v="400"/>
    <n v="3582"/>
    <n v="2988"/>
    <n v="43"/>
    <x v="2"/>
    <m/>
    <n v="0.38274706867671693"/>
  </r>
  <r>
    <s v="P071"/>
    <s v="YouTube"/>
    <d v="2024-09-02T00:00:00"/>
    <x v="3"/>
    <s v="Check out our latest carousel on youtube!"/>
    <n v="2551"/>
    <n v="915"/>
    <n v="205"/>
    <n v="30612"/>
    <n v="30360"/>
    <n v="227"/>
    <x v="2"/>
    <s v="ModelYCampaign"/>
    <n v="0.1199202926956749"/>
  </r>
  <r>
    <s v="P072"/>
    <s v="YouTube"/>
    <d v="2025-03-03T00:00:00"/>
    <x v="0"/>
    <s v="Check out our latest reel on youtube!"/>
    <n v="296"/>
    <n v="60"/>
    <n v="141"/>
    <n v="5624"/>
    <n v="5239"/>
    <n v="88"/>
    <x v="4"/>
    <s v="ModelYCampaign"/>
    <n v="8.837126600284495E-2"/>
  </r>
  <r>
    <s v="P073"/>
    <s v="Facebook"/>
    <d v="2024-10-18T00:00:00"/>
    <x v="2"/>
    <s v="Check out our latest story on facebook!"/>
    <n v="4126"/>
    <n v="426"/>
    <n v="486"/>
    <n v="78394"/>
    <n v="77798"/>
    <n v="88"/>
    <x v="0"/>
    <s v="SustainabilityDrive"/>
    <n v="6.4265122330790625E-2"/>
  </r>
  <r>
    <s v="P074"/>
    <s v="YouTube"/>
    <d v="2024-10-28T00:00:00"/>
    <x v="0"/>
    <s v="Check out our latest reel on youtube!"/>
    <n v="1855"/>
    <n v="200"/>
    <n v="174"/>
    <n v="16695"/>
    <n v="16330"/>
    <n v="123"/>
    <x v="2"/>
    <s v="FSDUpdate"/>
    <n v="0.13351302785265048"/>
  </r>
  <r>
    <s v="P075"/>
    <s v="Instagram"/>
    <d v="2024-08-01T00:00:00"/>
    <x v="0"/>
    <s v="Check out our latest reel on instagram!"/>
    <n v="1674"/>
    <n v="929"/>
    <n v="37"/>
    <n v="21762"/>
    <n v="20998"/>
    <n v="255"/>
    <x v="2"/>
    <s v="SustainabilityDrive"/>
    <n v="0.12131237937689551"/>
  </r>
  <r>
    <s v="P076"/>
    <s v="Twitter"/>
    <d v="2024-11-07T00:00:00"/>
    <x v="2"/>
    <s v="Check out our latest story on twitter!"/>
    <n v="1121"/>
    <n v="135"/>
    <n v="18"/>
    <n v="15694"/>
    <n v="14957"/>
    <n v="99"/>
    <x v="2"/>
    <s v="SustainabilityDrive"/>
    <n v="8.1177520071364848E-2"/>
  </r>
  <r>
    <s v="P077"/>
    <s v="Facebook"/>
    <d v="2025-03-04T00:00:00"/>
    <x v="2"/>
    <s v="Check out our latest story on facebook!"/>
    <n v="1249"/>
    <n v="116"/>
    <n v="420"/>
    <n v="8743"/>
    <n v="8538"/>
    <n v="63"/>
    <x v="2"/>
    <m/>
    <n v="0.20416333066453163"/>
  </r>
  <r>
    <s v="P078"/>
    <s v="Twitter"/>
    <d v="2024-06-17T00:00:00"/>
    <x v="4"/>
    <s v="Check out our latest image on twitter!"/>
    <n v="954"/>
    <n v="324"/>
    <n v="288"/>
    <n v="19080"/>
    <n v="18859"/>
    <n v="21"/>
    <x v="0"/>
    <s v="SustainabilityDrive"/>
    <n v="8.2075471698113203E-2"/>
  </r>
  <r>
    <s v="P079"/>
    <s v="Instagram"/>
    <d v="2024-10-09T00:00:00"/>
    <x v="3"/>
    <s v="Check out our latest carousel on instagram!"/>
    <n v="3068"/>
    <n v="137"/>
    <n v="329"/>
    <n v="39884"/>
    <n v="39404"/>
    <n v="266"/>
    <x v="4"/>
    <s v="ModelYCampaign"/>
    <n v="8.860696018453515E-2"/>
  </r>
  <r>
    <s v="P080"/>
    <s v="Instagram"/>
    <d v="2024-06-13T00:00:00"/>
    <x v="2"/>
    <s v="Check out our latest story on instagram!"/>
    <n v="2103"/>
    <n v="892"/>
    <n v="103"/>
    <n v="39957"/>
    <n v="39466"/>
    <n v="28"/>
    <x v="0"/>
    <m/>
    <n v="7.7533348349475686E-2"/>
  </r>
  <r>
    <s v="P081"/>
    <s v="Instagram"/>
    <d v="2024-10-19T00:00:00"/>
    <x v="2"/>
    <s v="Check out our latest story on instagram!"/>
    <n v="1816"/>
    <n v="29"/>
    <n v="41"/>
    <n v="19976"/>
    <n v="19262"/>
    <n v="283"/>
    <x v="2"/>
    <s v="FSDUpdate"/>
    <n v="9.4413295955146179E-2"/>
  </r>
  <r>
    <s v="P082"/>
    <s v="Instagram"/>
    <d v="2024-07-24T00:00:00"/>
    <x v="4"/>
    <s v="Check out our latest image on instagram!"/>
    <n v="725"/>
    <n v="88"/>
    <n v="428"/>
    <n v="14500"/>
    <n v="13637"/>
    <n v="200"/>
    <x v="0"/>
    <s v="FSDUpdate"/>
    <n v="8.558620689655172E-2"/>
  </r>
  <r>
    <s v="P082"/>
    <s v="Instagram"/>
    <d v="2024-07-24T00:00:00"/>
    <x v="4"/>
    <s v="Check out our latest image on instagram!"/>
    <n v="725"/>
    <n v="88"/>
    <n v="428"/>
    <n v="14500"/>
    <n v="13637"/>
    <n v="200"/>
    <x v="2"/>
    <s v="FSDUpdate"/>
    <n v="8.558620689655172E-2"/>
  </r>
  <r>
    <s v="P082"/>
    <s v="Instagram"/>
    <d v="2024-07-24T00:00:00"/>
    <x v="4"/>
    <s v="Check out our latest image on instagram!"/>
    <n v="725"/>
    <n v="88"/>
    <n v="428"/>
    <n v="14500"/>
    <n v="13637"/>
    <n v="200"/>
    <x v="1"/>
    <s v="FSDUpdate"/>
    <n v="8.558620689655172E-2"/>
  </r>
  <r>
    <s v="P083"/>
    <s v="YouTube"/>
    <d v="2024-10-15T00:00:00"/>
    <x v="5"/>
    <s v="Check out our latest video on youtube!"/>
    <n v="1094"/>
    <n v="472"/>
    <n v="21"/>
    <n v="9846"/>
    <n v="9609"/>
    <n v="112"/>
    <x v="4"/>
    <m/>
    <n v="0.16118220597196831"/>
  </r>
  <r>
    <s v="P084"/>
    <s v="Facebook"/>
    <d v="2024-12-09T00:00:00"/>
    <x v="4"/>
    <s v="Check out our latest image on facebook!"/>
    <n v="1841"/>
    <n v="851"/>
    <n v="342"/>
    <n v="34979"/>
    <n v="34154"/>
    <n v="255"/>
    <x v="0"/>
    <s v="SustainabilityDrive"/>
    <n v="8.6737756939878216E-2"/>
  </r>
  <r>
    <s v="P085"/>
    <s v="Instagram"/>
    <d v="2025-04-19T00:00:00"/>
    <x v="4"/>
    <s v="Check out our latest image on instagram!"/>
    <n v="4177"/>
    <n v="569"/>
    <n v="55"/>
    <n v="25062"/>
    <n v="24847"/>
    <n v="230"/>
    <x v="0"/>
    <s v="CybertruckLaunch"/>
    <n v="0.19156491900087783"/>
  </r>
  <r>
    <s v="P086"/>
    <s v="YouTube"/>
    <d v="2025-01-27T00:00:00"/>
    <x v="1"/>
    <s v="Check out our latest text on youtube!"/>
    <n v="3428"/>
    <n v="305"/>
    <n v="85"/>
    <n v="58276"/>
    <n v="58052"/>
    <n v="242"/>
    <x v="4"/>
    <s v="SustainabilityDrive"/>
    <n v="6.5515821264328367E-2"/>
  </r>
  <r>
    <s v="P086"/>
    <s v="YouTube"/>
    <d v="2025-01-27T00:00:00"/>
    <x v="1"/>
    <s v="Check out our latest text on youtube!"/>
    <n v="3428"/>
    <n v="305"/>
    <n v="85"/>
    <n v="58276"/>
    <n v="58052"/>
    <n v="242"/>
    <x v="3"/>
    <s v="SustainabilityDrive"/>
    <n v="6.5515821264328367E-2"/>
  </r>
  <r>
    <s v="P087"/>
    <s v="Twitter"/>
    <d v="2024-06-06T00:00:00"/>
    <x v="5"/>
    <s v="Check out our latest video on twitter!"/>
    <n v="1436"/>
    <n v="765"/>
    <n v="496"/>
    <n v="12924"/>
    <n v="12701"/>
    <n v="197"/>
    <x v="0"/>
    <s v="FSDUpdate"/>
    <n v="0.20868152274837512"/>
  </r>
  <r>
    <s v="P088"/>
    <s v="Facebook"/>
    <d v="2024-07-07T00:00:00"/>
    <x v="2"/>
    <s v="Check out our latest story on facebook!"/>
    <n v="302"/>
    <n v="47"/>
    <n v="430"/>
    <n v="5738"/>
    <n v="4890"/>
    <n v="25"/>
    <x v="2"/>
    <s v="SustainabilityDrive"/>
    <n v="0.13576158940397351"/>
  </r>
  <r>
    <s v="P089"/>
    <s v="Twitter"/>
    <d v="2025-01-10T00:00:00"/>
    <x v="4"/>
    <s v="Check out our latest image on twitter!"/>
    <n v="2214"/>
    <n v="249"/>
    <n v="152"/>
    <n v="15498"/>
    <n v="14800"/>
    <n v="180"/>
    <x v="4"/>
    <m/>
    <n v="0.16873144921925409"/>
  </r>
  <r>
    <s v="P090"/>
    <s v="Instagram"/>
    <d v="2024-06-03T00:00:00"/>
    <x v="4"/>
    <s v="Check out our latest image on instagram!"/>
    <n v="3861"/>
    <n v="960"/>
    <n v="101"/>
    <n v="69498"/>
    <n v="68817"/>
    <n v="297"/>
    <x v="2"/>
    <s v="SustainabilityDrive"/>
    <n v="7.0822181933293038E-2"/>
  </r>
  <r>
    <s v="P091"/>
    <s v="Facebook"/>
    <d v="2025-03-24T00:00:00"/>
    <x v="4"/>
    <s v="Check out our latest image on facebook!"/>
    <n v="1263"/>
    <n v="397"/>
    <n v="357"/>
    <n v="25260"/>
    <n v="24615"/>
    <n v="137"/>
    <x v="4"/>
    <s v="SustainabilityDrive"/>
    <n v="7.984956452889945E-2"/>
  </r>
  <r>
    <s v="P092"/>
    <s v="Twitter"/>
    <d v="2024-10-21T00:00:00"/>
    <x v="2"/>
    <s v="Check out our latest story on twitter!"/>
    <n v="3801"/>
    <n v="967"/>
    <n v="401"/>
    <n v="38010"/>
    <n v="37625"/>
    <n v="236"/>
    <x v="0"/>
    <s v="FSDUpdate"/>
    <n v="0.13599052880820836"/>
  </r>
  <r>
    <s v="P093"/>
    <s v="Instagram"/>
    <d v="2024-12-11T00:00:00"/>
    <x v="5"/>
    <s v="Check out our latest video on instagram!"/>
    <n v="1431"/>
    <n v="951"/>
    <n v="26"/>
    <n v="8586"/>
    <n v="8396"/>
    <n v="150"/>
    <x v="4"/>
    <s v="FSDUpdate"/>
    <n v="0.28045655718611695"/>
  </r>
  <r>
    <s v="P094"/>
    <s v="Instagram"/>
    <d v="2024-11-07T00:00:00"/>
    <x v="4"/>
    <s v="Check out our latest image on instagram!"/>
    <n v="2647"/>
    <n v="304"/>
    <n v="170"/>
    <n v="18529"/>
    <n v="17841"/>
    <n v="46"/>
    <x v="0"/>
    <s v="FSDUpdate"/>
    <n v="0.16843866371633656"/>
  </r>
  <r>
    <s v="P095"/>
    <s v="Instagram"/>
    <d v="2024-11-08T00:00:00"/>
    <x v="1"/>
    <s v="Check out our latest text on instagram!"/>
    <n v="3182"/>
    <n v="559"/>
    <n v="160"/>
    <n v="57276"/>
    <n v="56890"/>
    <n v="163"/>
    <x v="0"/>
    <s v="SustainabilityDrive"/>
    <n v="6.8108806480899509E-2"/>
  </r>
  <r>
    <s v="P096"/>
    <s v="Twitter"/>
    <d v="2024-09-10T00:00:00"/>
    <x v="4"/>
    <s v="Check out our latest image on twitter!"/>
    <n v="1238"/>
    <n v="366"/>
    <n v="444"/>
    <n v="19808"/>
    <n v="19334"/>
    <n v="123"/>
    <x v="0"/>
    <m/>
    <n v="0.10339256865912763"/>
  </r>
  <r>
    <s v="P097"/>
    <s v="Instagram"/>
    <d v="2024-08-13T00:00:00"/>
    <x v="4"/>
    <s v="Check out our latest image on instagram!"/>
    <n v="4739"/>
    <n v="527"/>
    <n v="135"/>
    <n v="61607"/>
    <n v="61333"/>
    <n v="36"/>
    <x v="2"/>
    <s v="ModelYCampaign"/>
    <n v="8.7668609086629767E-2"/>
  </r>
  <r>
    <s v="P097"/>
    <s v="Instagram"/>
    <d v="2024-08-13T00:00:00"/>
    <x v="4"/>
    <s v="Check out our latest image on instagram!"/>
    <n v="4739"/>
    <n v="527"/>
    <n v="135"/>
    <n v="61607"/>
    <n v="61333"/>
    <n v="36"/>
    <x v="1"/>
    <s v="ModelYCampaign"/>
    <n v="8.7668609086629767E-2"/>
  </r>
  <r>
    <s v="P098"/>
    <s v="Twitter"/>
    <d v="2024-06-10T00:00:00"/>
    <x v="2"/>
    <s v="Check out our latest story on twitter!"/>
    <n v="1575"/>
    <n v="771"/>
    <n v="486"/>
    <n v="25200"/>
    <n v="24826"/>
    <n v="17"/>
    <x v="0"/>
    <s v="SustainabilityDrive"/>
    <n v="0.11238095238095239"/>
  </r>
  <r>
    <s v="P099"/>
    <s v="YouTube"/>
    <d v="2024-07-02T00:00:00"/>
    <x v="3"/>
    <s v="Check out our latest carousel on youtube!"/>
    <n v="4171"/>
    <n v="548"/>
    <n v="86"/>
    <n v="66736"/>
    <n v="66634"/>
    <n v="173"/>
    <x v="0"/>
    <s v="FSDUpdate"/>
    <n v="7.2000119875329657E-2"/>
  </r>
  <r>
    <s v="P100"/>
    <s v="YouTube"/>
    <d v="2025-02-10T00:00:00"/>
    <x v="5"/>
    <s v="Check out our latest video on youtube!"/>
    <n v="1766"/>
    <n v="92"/>
    <n v="424"/>
    <n v="24724"/>
    <n v="24333"/>
    <n v="52"/>
    <x v="4"/>
    <m/>
    <n v="9.2298980747451867E-2"/>
  </r>
  <r>
    <s v="P101"/>
    <s v="YouTube"/>
    <d v="2024-10-18T00:00:00"/>
    <x v="5"/>
    <s v="Check out our latest video on youtube!"/>
    <n v="4450"/>
    <n v="983"/>
    <n v="143"/>
    <n v="75650"/>
    <n v="75008"/>
    <n v="12"/>
    <x v="0"/>
    <s v="FSDUpdate"/>
    <n v="7.3707865168539333E-2"/>
  </r>
  <r>
    <s v="P102"/>
    <s v="Twitter"/>
    <d v="2024-09-18T00:00:00"/>
    <x v="0"/>
    <s v="Check out our latest reel on twitter!"/>
    <n v="1000"/>
    <n v="978"/>
    <n v="162"/>
    <n v="6000"/>
    <n v="5221"/>
    <n v="223"/>
    <x v="4"/>
    <s v="ModelYCampaign"/>
    <n v="0.35666666666666669"/>
  </r>
  <r>
    <s v="P103"/>
    <s v="Facebook"/>
    <d v="2024-06-11T00:00:00"/>
    <x v="4"/>
    <s v="Check out our latest image on facebook!"/>
    <n v="3689"/>
    <n v="48"/>
    <n v="306"/>
    <n v="40579"/>
    <n v="39588"/>
    <n v="212"/>
    <x v="4"/>
    <s v="ModelYCampaign"/>
    <n v="9.9632815002833983E-2"/>
  </r>
  <r>
    <s v="P104"/>
    <s v="YouTube"/>
    <d v="2025-03-23T00:00:00"/>
    <x v="2"/>
    <s v="Check out our latest story on youtube!"/>
    <n v="3655"/>
    <n v="568"/>
    <n v="286"/>
    <n v="32895"/>
    <n v="32015"/>
    <n v="199"/>
    <x v="2"/>
    <s v="FSDUpdate"/>
    <n v="0.13707250341997265"/>
  </r>
  <r>
    <s v="P105"/>
    <s v="Instagram"/>
    <d v="2024-06-14T00:00:00"/>
    <x v="3"/>
    <s v="Check out our latest carousel on instagram!"/>
    <n v="498"/>
    <n v="38"/>
    <n v="42"/>
    <n v="4482"/>
    <n v="3647"/>
    <n v="32"/>
    <x v="0"/>
    <s v="CybertruckLaunch"/>
    <n v="0.12896028558679162"/>
  </r>
  <r>
    <s v="P106"/>
    <s v="Instagram"/>
    <d v="2025-02-04T00:00:00"/>
    <x v="4"/>
    <s v="Check out our latest image on instagram!"/>
    <n v="4619"/>
    <n v="821"/>
    <n v="499"/>
    <n v="69285"/>
    <n v="69141"/>
    <n v="298"/>
    <x v="2"/>
    <s v="SustainabilityDrive"/>
    <n v="8.5718409468138843E-2"/>
  </r>
  <r>
    <s v="P107"/>
    <s v="YouTube"/>
    <d v="2024-06-21T00:00:00"/>
    <x v="4"/>
    <s v="Check out our latest image on youtube!"/>
    <n v="4832"/>
    <n v="893"/>
    <n v="10"/>
    <n v="91808"/>
    <n v="91296"/>
    <n v="182"/>
    <x v="2"/>
    <m/>
    <n v="6.2467323109097243E-2"/>
  </r>
  <r>
    <s v="P108"/>
    <s v="Twitter"/>
    <d v="2025-03-25T00:00:00"/>
    <x v="5"/>
    <s v="Check out our latest video on twitter!"/>
    <n v="4050"/>
    <n v="871"/>
    <n v="347"/>
    <n v="52650"/>
    <n v="51755"/>
    <n v="209"/>
    <x v="2"/>
    <s v="ModelYCampaign"/>
    <n v="0.10005698005698006"/>
  </r>
  <r>
    <s v="P109"/>
    <s v="Twitter"/>
    <d v="2024-08-08T00:00:00"/>
    <x v="2"/>
    <s v="Check out our latest story on twitter!"/>
    <n v="3649"/>
    <n v="215"/>
    <n v="413"/>
    <n v="25543"/>
    <n v="24963"/>
    <n v="167"/>
    <x v="0"/>
    <s v="FSDUpdate"/>
    <n v="0.16744313510550835"/>
  </r>
  <r>
    <s v="P110"/>
    <s v="Instagram"/>
    <d v="2024-07-29T00:00:00"/>
    <x v="0"/>
    <s v="Check out our latest reel on instagram!"/>
    <n v="3523"/>
    <n v="753"/>
    <n v="482"/>
    <n v="38753"/>
    <n v="38579"/>
    <n v="270"/>
    <x v="4"/>
    <s v="ModelYCampaign"/>
    <n v="0.12277759141227776"/>
  </r>
  <r>
    <s v="P111"/>
    <s v="YouTube"/>
    <d v="2024-11-23T00:00:00"/>
    <x v="4"/>
    <s v="Check out our latest image on youtube!"/>
    <n v="2719"/>
    <n v="17"/>
    <n v="285"/>
    <n v="40785"/>
    <n v="40281"/>
    <n v="40"/>
    <x v="2"/>
    <s v="ModelYCampaign"/>
    <n v="7.4071349760941527E-2"/>
  </r>
  <r>
    <s v="P112"/>
    <s v="Twitter"/>
    <d v="2024-10-05T00:00:00"/>
    <x v="2"/>
    <s v="Check out our latest story on twitter!"/>
    <n v="1957"/>
    <n v="877"/>
    <n v="238"/>
    <n v="17613"/>
    <n v="16865"/>
    <n v="297"/>
    <x v="0"/>
    <s v="FSDUpdate"/>
    <n v="0.17441662408448305"/>
  </r>
  <r>
    <s v="P113"/>
    <s v="Twitter"/>
    <d v="2024-10-02T00:00:00"/>
    <x v="3"/>
    <s v="Check out our latest carousel on twitter!"/>
    <n v="4419"/>
    <n v="236"/>
    <n v="369"/>
    <n v="44190"/>
    <n v="43582"/>
    <n v="10"/>
    <x v="4"/>
    <s v="CybertruckLaunch"/>
    <n v="0.11369088028965829"/>
  </r>
  <r>
    <s v="P114"/>
    <s v="Twitter"/>
    <d v="2024-11-14T00:00:00"/>
    <x v="2"/>
    <s v="Check out our latest story on twitter!"/>
    <n v="4000"/>
    <n v="689"/>
    <n v="488"/>
    <n v="40000"/>
    <n v="39569"/>
    <n v="44"/>
    <x v="0"/>
    <s v="CybertruckLaunch"/>
    <n v="0.12942500000000001"/>
  </r>
  <r>
    <s v="P115"/>
    <s v="Twitter"/>
    <d v="2025-05-11T00:00:00"/>
    <x v="4"/>
    <s v="Check out our latest image on twitter!"/>
    <n v="2493"/>
    <n v="97"/>
    <n v="44"/>
    <n v="42381"/>
    <n v="41991"/>
    <n v="242"/>
    <x v="2"/>
    <s v="SustainabilityDrive"/>
    <n v="6.2150491965739366E-2"/>
  </r>
  <r>
    <s v="P115"/>
    <s v="Twitter"/>
    <d v="2025-05-11T00:00:00"/>
    <x v="4"/>
    <s v="Check out our latest image on twitter!"/>
    <n v="2493"/>
    <n v="97"/>
    <n v="44"/>
    <n v="42381"/>
    <n v="41991"/>
    <n v="242"/>
    <x v="1"/>
    <s v="SustainabilityDrive"/>
    <n v="6.2150491965739366E-2"/>
  </r>
  <r>
    <s v="P116"/>
    <s v="YouTube"/>
    <d v="2025-03-18T00:00:00"/>
    <x v="0"/>
    <s v="Check out our latest reel on youtube!"/>
    <n v="3704"/>
    <n v="186"/>
    <n v="458"/>
    <n v="25928"/>
    <n v="25081"/>
    <n v="131"/>
    <x v="2"/>
    <m/>
    <n v="0.16769515581610614"/>
  </r>
  <r>
    <s v="P117"/>
    <s v="Twitter"/>
    <d v="2024-11-04T00:00:00"/>
    <x v="4"/>
    <s v="Check out our latest image on twitter!"/>
    <n v="1606"/>
    <n v="451"/>
    <n v="405"/>
    <n v="20878"/>
    <n v="20190"/>
    <n v="219"/>
    <x v="4"/>
    <s v="SustainabilityDrive"/>
    <n v="0.11792317271769326"/>
  </r>
  <r>
    <s v="P118"/>
    <s v="Facebook"/>
    <d v="2024-11-04T00:00:00"/>
    <x v="4"/>
    <s v="Check out our latest image on facebook!"/>
    <n v="4551"/>
    <n v="714"/>
    <n v="207"/>
    <n v="68265"/>
    <n v="67754"/>
    <n v="57"/>
    <x v="0"/>
    <s v="FSDUpdate"/>
    <n v="8.0158206987475278E-2"/>
  </r>
  <r>
    <s v="P119"/>
    <s v="Instagram"/>
    <d v="2025-02-07T00:00:00"/>
    <x v="0"/>
    <s v="Check out our latest reel on instagram!"/>
    <n v="1970"/>
    <n v="675"/>
    <n v="478"/>
    <n v="9850"/>
    <n v="8924"/>
    <n v="117"/>
    <x v="0"/>
    <m/>
    <n v="0.31705583756345179"/>
  </r>
  <r>
    <s v="P120"/>
    <s v="Facebook"/>
    <d v="2024-10-21T00:00:00"/>
    <x v="2"/>
    <s v="Check out our latest story on facebook!"/>
    <n v="780"/>
    <n v="928"/>
    <n v="301"/>
    <n v="8580"/>
    <n v="8081"/>
    <n v="91"/>
    <x v="4"/>
    <s v="FSDUpdate"/>
    <n v="0.23414918414918415"/>
  </r>
  <r>
    <s v="P121"/>
    <s v="Instagram"/>
    <d v="2024-07-29T00:00:00"/>
    <x v="2"/>
    <s v="Check out our latest story on instagram!"/>
    <n v="498"/>
    <n v="701"/>
    <n v="412"/>
    <n v="4980"/>
    <n v="4185"/>
    <n v="185"/>
    <x v="0"/>
    <m/>
    <n v="0.32349397590361445"/>
  </r>
  <r>
    <s v="P122"/>
    <s v="Instagram"/>
    <d v="2024-10-02T00:00:00"/>
    <x v="1"/>
    <s v="Check out our latest text on instagram!"/>
    <n v="3432"/>
    <n v="869"/>
    <n v="123"/>
    <n v="54912"/>
    <n v="53916"/>
    <n v="264"/>
    <x v="4"/>
    <s v="ModelYCampaign"/>
    <n v="8.0565268065268064E-2"/>
  </r>
  <r>
    <s v="P123"/>
    <s v="Instagram"/>
    <d v="2024-06-14T00:00:00"/>
    <x v="2"/>
    <s v="Check out our latest story on instagram!"/>
    <n v="4363"/>
    <n v="649"/>
    <n v="140"/>
    <n v="21815"/>
    <n v="21481"/>
    <n v="157"/>
    <x v="4"/>
    <s v="CybertruckLaunch"/>
    <n v="0.23616777446710979"/>
  </r>
  <r>
    <s v="P124"/>
    <s v="YouTube"/>
    <d v="2025-04-06T00:00:00"/>
    <x v="3"/>
    <s v="Check out our latest carousel on youtube!"/>
    <n v="736"/>
    <n v="771"/>
    <n v="225"/>
    <n v="5152"/>
    <n v="4706"/>
    <n v="19"/>
    <x v="4"/>
    <s v="CybertruckLaunch"/>
    <n v="0.33618012422360249"/>
  </r>
  <r>
    <s v="P125"/>
    <s v="Twitter"/>
    <d v="2024-09-08T00:00:00"/>
    <x v="3"/>
    <s v="Check out our latest carousel on twitter!"/>
    <n v="3811"/>
    <n v="866"/>
    <n v="216"/>
    <n v="34299"/>
    <n v="34088"/>
    <n v="233"/>
    <x v="2"/>
    <s v="SustainabilityDrive"/>
    <n v="0.14265722032712325"/>
  </r>
  <r>
    <s v="P126"/>
    <s v="Instagram"/>
    <d v="2025-03-28T00:00:00"/>
    <x v="3"/>
    <s v="Check out our latest carousel on instagram!"/>
    <n v="4158"/>
    <n v="167"/>
    <n v="241"/>
    <n v="45738"/>
    <n v="45183"/>
    <n v="142"/>
    <x v="0"/>
    <m/>
    <n v="9.9829463465827106E-2"/>
  </r>
  <r>
    <s v="P127"/>
    <s v="Facebook"/>
    <d v="2025-01-27T00:00:00"/>
    <x v="0"/>
    <s v="Check out our latest reel on facebook!"/>
    <n v="3452"/>
    <n v="652"/>
    <n v="442"/>
    <n v="65588"/>
    <n v="65049"/>
    <n v="158"/>
    <x v="0"/>
    <s v="FSDUpdate"/>
    <n v="6.9311459413307311E-2"/>
  </r>
  <r>
    <s v="P128"/>
    <s v="Twitter"/>
    <d v="2025-01-10T00:00:00"/>
    <x v="4"/>
    <s v="Check out our latest image on twitter!"/>
    <n v="3092"/>
    <n v="106"/>
    <n v="291"/>
    <n v="27828"/>
    <n v="27217"/>
    <n v="102"/>
    <x v="0"/>
    <m/>
    <n v="0.12537731780940059"/>
  </r>
  <r>
    <s v="P129"/>
    <s v="Twitter"/>
    <d v="2024-07-21T00:00:00"/>
    <x v="1"/>
    <s v="Check out our latest text on twitter!"/>
    <n v="2147"/>
    <n v="430"/>
    <n v="393"/>
    <n v="17176"/>
    <n v="16483"/>
    <n v="170"/>
    <x v="2"/>
    <m/>
    <n v="0.17291569632044715"/>
  </r>
  <r>
    <s v="P130"/>
    <s v="YouTube"/>
    <d v="2024-09-29T00:00:00"/>
    <x v="0"/>
    <s v="Check out our latest reel on youtube!"/>
    <n v="2936"/>
    <n v="439"/>
    <n v="44"/>
    <n v="38168"/>
    <n v="37571"/>
    <n v="22"/>
    <x v="4"/>
    <s v="SustainabilityDrive"/>
    <n v="8.9577656675749323E-2"/>
  </r>
  <r>
    <s v="P131"/>
    <s v="Instagram"/>
    <d v="2024-10-21T00:00:00"/>
    <x v="0"/>
    <s v="Check out our latest reel on instagram!"/>
    <n v="4840"/>
    <n v="658"/>
    <n v="211"/>
    <n v="43560"/>
    <n v="43225"/>
    <n v="57"/>
    <x v="0"/>
    <s v="FSDUpdate"/>
    <n v="0.13106060606060607"/>
  </r>
  <r>
    <s v="P132"/>
    <s v="Instagram"/>
    <d v="2025-03-04T00:00:00"/>
    <x v="2"/>
    <s v="Check out our latest story on instagram!"/>
    <n v="1947"/>
    <n v="842"/>
    <n v="101"/>
    <n v="21417"/>
    <n v="20967"/>
    <n v="186"/>
    <x v="0"/>
    <s v="ModelYCampaign"/>
    <n v="0.13493953401503478"/>
  </r>
  <r>
    <s v="P133"/>
    <s v="Facebook"/>
    <d v="2025-02-06T00:00:00"/>
    <x v="4"/>
    <s v="Check out our latest image on facebook!"/>
    <n v="2072"/>
    <n v="532"/>
    <n v="71"/>
    <n v="37296"/>
    <n v="36467"/>
    <n v="25"/>
    <x v="2"/>
    <s v="SustainabilityDrive"/>
    <n v="7.172350922350923E-2"/>
  </r>
  <r>
    <s v="P134"/>
    <s v="Twitter"/>
    <d v="2025-04-24T00:00:00"/>
    <x v="0"/>
    <s v="Check out our latest reel on twitter!"/>
    <n v="3731"/>
    <n v="115"/>
    <n v="135"/>
    <n v="55965"/>
    <n v="55436"/>
    <n v="103"/>
    <x v="2"/>
    <s v="CybertruckLaunch"/>
    <n v="7.1133744304476013E-2"/>
  </r>
  <r>
    <s v="P135"/>
    <s v="Facebook"/>
    <d v="2024-11-28T00:00:00"/>
    <x v="1"/>
    <s v="Check out our latest text on facebook!"/>
    <n v="4213"/>
    <n v="253"/>
    <n v="434"/>
    <n v="75834"/>
    <n v="75437"/>
    <n v="272"/>
    <x v="0"/>
    <s v="SustainabilityDrive"/>
    <n v="6.461481657304112E-2"/>
  </r>
  <r>
    <s v="P136"/>
    <s v="Instagram"/>
    <d v="2024-07-11T00:00:00"/>
    <x v="1"/>
    <s v="Check out our latest text on instagram!"/>
    <n v="3134"/>
    <n v="888"/>
    <n v="444"/>
    <n v="21938"/>
    <n v="21337"/>
    <n v="130"/>
    <x v="4"/>
    <s v="SustainabilityDrive"/>
    <n v="0.20357370772176134"/>
  </r>
  <r>
    <s v="P137"/>
    <s v="Facebook"/>
    <d v="2024-07-31T00:00:00"/>
    <x v="5"/>
    <s v="Check out our latest video on facebook!"/>
    <n v="3008"/>
    <n v="94"/>
    <n v="37"/>
    <n v="15040"/>
    <n v="14639"/>
    <n v="277"/>
    <x v="0"/>
    <m/>
    <n v="0.20871010638297871"/>
  </r>
  <r>
    <s v="P138"/>
    <s v="Twitter"/>
    <d v="2025-03-29T00:00:00"/>
    <x v="4"/>
    <s v="Check out our latest image on twitter!"/>
    <n v="305"/>
    <n v="187"/>
    <n v="243"/>
    <n v="4575"/>
    <n v="3704"/>
    <n v="234"/>
    <x v="0"/>
    <s v="FSDUpdate"/>
    <n v="0.16065573770491803"/>
  </r>
  <r>
    <s v="P139"/>
    <s v="YouTube"/>
    <d v="2024-10-29T00:00:00"/>
    <x v="1"/>
    <s v="Check out our latest text on youtube!"/>
    <n v="2746"/>
    <n v="156"/>
    <n v="203"/>
    <n v="32952"/>
    <n v="32147"/>
    <n v="147"/>
    <x v="4"/>
    <s v="CybertruckLaunch"/>
    <n v="9.422796795338674E-2"/>
  </r>
  <r>
    <s v="P140"/>
    <s v="Facebook"/>
    <d v="2024-07-15T00:00:00"/>
    <x v="4"/>
    <s v="Check out our latest image on facebook!"/>
    <n v="2291"/>
    <n v="78"/>
    <n v="485"/>
    <n v="18328"/>
    <n v="18101"/>
    <n v="10"/>
    <x v="4"/>
    <s v="ModelYCampaign"/>
    <n v="0.15571802706241816"/>
  </r>
  <r>
    <s v="P140"/>
    <s v="Facebook"/>
    <d v="2024-07-15T00:00:00"/>
    <x v="4"/>
    <s v="Check out our latest image on facebook!"/>
    <n v="2291"/>
    <n v="78"/>
    <n v="485"/>
    <n v="18328"/>
    <n v="18101"/>
    <n v="10"/>
    <x v="5"/>
    <s v="ModelYCampaign"/>
    <n v="0.15571802706241816"/>
  </r>
  <r>
    <s v="P141"/>
    <s v="Twitter"/>
    <d v="2024-08-31T00:00:00"/>
    <x v="4"/>
    <s v="Check out our latest image on twitter!"/>
    <n v="3170"/>
    <n v="857"/>
    <n v="379"/>
    <n v="19020"/>
    <n v="18559"/>
    <n v="240"/>
    <x v="0"/>
    <m/>
    <n v="0.2316508937960042"/>
  </r>
  <r>
    <s v="P142"/>
    <s v="YouTube"/>
    <d v="2025-03-25T00:00:00"/>
    <x v="2"/>
    <s v="Check out our latest story on youtube!"/>
    <n v="2070"/>
    <n v="275"/>
    <n v="386"/>
    <n v="39330"/>
    <n v="38627"/>
    <n v="114"/>
    <x v="0"/>
    <s v="SustainabilityDrive"/>
    <n v="6.9438087973557078E-2"/>
  </r>
  <r>
    <s v="P143"/>
    <s v="YouTube"/>
    <d v="2024-10-02T00:00:00"/>
    <x v="3"/>
    <s v="Check out our latest carousel on youtube!"/>
    <n v="80"/>
    <n v="362"/>
    <n v="80"/>
    <n v="1040"/>
    <n v="349"/>
    <n v="117"/>
    <x v="2"/>
    <s v="FSDUpdate"/>
    <n v="0.50192307692307692"/>
  </r>
  <r>
    <s v="P144"/>
    <s v="YouTube"/>
    <d v="2024-10-28T00:00:00"/>
    <x v="2"/>
    <s v="Check out our latest story on youtube!"/>
    <n v="4929"/>
    <n v="749"/>
    <n v="452"/>
    <n v="93651"/>
    <n v="92810"/>
    <n v="66"/>
    <x v="4"/>
    <s v="SustainabilityDrive"/>
    <n v="6.5455787978772245E-2"/>
  </r>
  <r>
    <s v="P145"/>
    <s v="Instagram"/>
    <d v="2024-08-12T00:00:00"/>
    <x v="3"/>
    <s v="Check out our latest carousel on instagram!"/>
    <n v="1878"/>
    <n v="62"/>
    <n v="179"/>
    <n v="37560"/>
    <n v="36874"/>
    <n v="142"/>
    <x v="2"/>
    <s v="SustainabilityDrive"/>
    <n v="5.6416400425985093E-2"/>
  </r>
  <r>
    <s v="P146"/>
    <s v="YouTube"/>
    <d v="2024-06-05T00:00:00"/>
    <x v="0"/>
    <s v="Check out our latest reel on youtube!"/>
    <n v="3065"/>
    <n v="772"/>
    <n v="142"/>
    <n v="18390"/>
    <n v="17875"/>
    <n v="200"/>
    <x v="4"/>
    <m/>
    <n v="0.21636759108210984"/>
  </r>
  <r>
    <s v="P146"/>
    <s v="YouTube"/>
    <d v="2024-06-05T00:00:00"/>
    <x v="0"/>
    <s v="Check out our latest reel on youtube!"/>
    <n v="3065"/>
    <n v="772"/>
    <n v="142"/>
    <n v="18390"/>
    <n v="17875"/>
    <n v="200"/>
    <x v="1"/>
    <m/>
    <n v="0.21636759108210984"/>
  </r>
  <r>
    <s v="P147"/>
    <s v="Instagram"/>
    <d v="2024-10-21T00:00:00"/>
    <x v="0"/>
    <s v="Check out our latest reel on instagram!"/>
    <n v="3256"/>
    <n v="459"/>
    <n v="266"/>
    <n v="26048"/>
    <n v="25529"/>
    <n v="143"/>
    <x v="2"/>
    <s v="ModelYCampaign"/>
    <n v="0.15283323095823095"/>
  </r>
  <r>
    <s v="P148"/>
    <s v="Instagram"/>
    <d v="2025-04-15T00:00:00"/>
    <x v="5"/>
    <s v="Check out our latest video on instagram!"/>
    <n v="4133"/>
    <n v="466"/>
    <n v="327"/>
    <n v="24798"/>
    <n v="24620"/>
    <n v="176"/>
    <x v="4"/>
    <s v="SustainabilityDrive"/>
    <n v="0.19864505202032423"/>
  </r>
  <r>
    <s v="P149"/>
    <s v="Twitter"/>
    <d v="2024-06-16T00:00:00"/>
    <x v="5"/>
    <s v="Check out our latest video on twitter!"/>
    <n v="1702"/>
    <n v="750"/>
    <n v="179"/>
    <n v="34040"/>
    <n v="33174"/>
    <n v="76"/>
    <x v="4"/>
    <s v="CybertruckLaunch"/>
    <n v="7.7291421856639245E-2"/>
  </r>
  <r>
    <s v="P150"/>
    <s v="YouTube"/>
    <d v="2024-08-22T00:00:00"/>
    <x v="3"/>
    <s v="Check out our latest carousel on youtube!"/>
    <n v="4295"/>
    <n v="853"/>
    <n v="325"/>
    <n v="85900"/>
    <n v="85788"/>
    <n v="290"/>
    <x v="2"/>
    <s v="SustainabilityDrive"/>
    <n v="6.3713620488940623E-2"/>
  </r>
  <r>
    <s v="P151"/>
    <s v="Instagram"/>
    <d v="2024-07-26T00:00:00"/>
    <x v="4"/>
    <s v="Check out our latest image on instagram!"/>
    <n v="3559"/>
    <n v="59"/>
    <n v="289"/>
    <n v="35590"/>
    <n v="35105"/>
    <n v="122"/>
    <x v="4"/>
    <s v="CybertruckLaunch"/>
    <n v="0.10977802753582468"/>
  </r>
  <r>
    <s v="P152"/>
    <s v="Facebook"/>
    <d v="2025-04-22T00:00:00"/>
    <x v="4"/>
    <s v="Check out our latest image on facebook!"/>
    <n v="4804"/>
    <n v="550"/>
    <n v="270"/>
    <n v="28824"/>
    <n v="28370"/>
    <n v="47"/>
    <x v="4"/>
    <s v="SustainabilityDrive"/>
    <n v="0.19511518179295032"/>
  </r>
  <r>
    <s v="P153"/>
    <s v="Twitter"/>
    <d v="2025-01-01T00:00:00"/>
    <x v="5"/>
    <s v="Check out our latest video on twitter!"/>
    <n v="754"/>
    <n v="197"/>
    <n v="257"/>
    <n v="6786"/>
    <n v="6221"/>
    <n v="212"/>
    <x v="2"/>
    <s v="FSDUpdate"/>
    <n v="0.17801355732390214"/>
  </r>
  <r>
    <s v="P154"/>
    <s v="Instagram"/>
    <d v="2024-10-09T00:00:00"/>
    <x v="3"/>
    <s v="Check out our latest carousel on instagram!"/>
    <n v="985"/>
    <n v="932"/>
    <n v="287"/>
    <n v="6895"/>
    <n v="6757"/>
    <n v="64"/>
    <x v="0"/>
    <s v="SustainabilityDrive"/>
    <n v="0.31965192168237855"/>
  </r>
  <r>
    <s v="P155"/>
    <s v="YouTube"/>
    <d v="2024-12-21T00:00:00"/>
    <x v="4"/>
    <s v="Check out our latest image on youtube!"/>
    <n v="2283"/>
    <n v="210"/>
    <n v="130"/>
    <n v="22830"/>
    <n v="22617"/>
    <n v="143"/>
    <x v="0"/>
    <s v="ModelYCampaign"/>
    <n v="0.11489268506351293"/>
  </r>
  <r>
    <s v="P156"/>
    <s v="Facebook"/>
    <d v="2024-10-22T00:00:00"/>
    <x v="3"/>
    <s v="Check out our latest carousel on facebook!"/>
    <n v="3352"/>
    <n v="941"/>
    <n v="482"/>
    <n v="43576"/>
    <n v="43338"/>
    <n v="240"/>
    <x v="0"/>
    <s v="ModelYCampaign"/>
    <n v="0.1095786671562328"/>
  </r>
  <r>
    <s v="P157"/>
    <s v="YouTube"/>
    <d v="2024-07-23T00:00:00"/>
    <x v="2"/>
    <s v="Check out our latest story on youtube!"/>
    <n v="4775"/>
    <n v="173"/>
    <n v="206"/>
    <n v="47750"/>
    <n v="47544"/>
    <n v="187"/>
    <x v="0"/>
    <s v="ModelYCampaign"/>
    <n v="0.10793717277486911"/>
  </r>
  <r>
    <s v="P158"/>
    <s v="Instagram"/>
    <d v="2024-08-11T00:00:00"/>
    <x v="2"/>
    <s v="Check out our latest story on instagram!"/>
    <n v="1762"/>
    <n v="405"/>
    <n v="423"/>
    <n v="22906"/>
    <n v="21925"/>
    <n v="25"/>
    <x v="2"/>
    <s v="CybertruckLaunch"/>
    <n v="0.11307081114118571"/>
  </r>
  <r>
    <s v="P159"/>
    <s v="Facebook"/>
    <d v="2024-11-25T00:00:00"/>
    <x v="2"/>
    <s v="Check out our latest story on facebook!"/>
    <n v="2120"/>
    <n v="158"/>
    <n v="488"/>
    <n v="12720"/>
    <n v="12085"/>
    <n v="17"/>
    <x v="0"/>
    <s v="ModelYCampaign"/>
    <n v="0.21745283018867925"/>
  </r>
  <r>
    <s v="P160"/>
    <s v="Twitter"/>
    <d v="2024-08-24T00:00:00"/>
    <x v="5"/>
    <s v="Check out our latest video on twitter!"/>
    <n v="1082"/>
    <n v="209"/>
    <n v="484"/>
    <n v="19476"/>
    <n v="18654"/>
    <n v="20"/>
    <x v="2"/>
    <m/>
    <n v="9.1137810638734856E-2"/>
  </r>
  <r>
    <s v="P161"/>
    <s v="Twitter"/>
    <d v="2025-02-19T00:00:00"/>
    <x v="1"/>
    <s v="Check out our latest text on twitter!"/>
    <n v="4671"/>
    <n v="876"/>
    <n v="366"/>
    <n v="51381"/>
    <n v="50565"/>
    <n v="245"/>
    <x v="2"/>
    <s v="SustainabilityDrive"/>
    <n v="0.11508145034156594"/>
  </r>
  <r>
    <s v="P162"/>
    <s v="Facebook"/>
    <d v="2025-04-01T00:00:00"/>
    <x v="2"/>
    <s v="Check out our latest story on facebook!"/>
    <n v="3430"/>
    <n v="566"/>
    <n v="164"/>
    <n v="48020"/>
    <n v="47305"/>
    <n v="120"/>
    <x v="0"/>
    <m/>
    <n v="8.6630570595585168E-2"/>
  </r>
  <r>
    <s v="P163"/>
    <s v="Instagram"/>
    <d v="2025-04-08T00:00:00"/>
    <x v="4"/>
    <s v="Check out our latest image on instagram!"/>
    <n v="4501"/>
    <n v="375"/>
    <n v="323"/>
    <n v="22505"/>
    <n v="21836"/>
    <n v="132"/>
    <x v="2"/>
    <s v="ModelYCampaign"/>
    <n v="0.23101532992668297"/>
  </r>
  <r>
    <s v="P164"/>
    <s v="YouTube"/>
    <d v="2025-02-27T00:00:00"/>
    <x v="1"/>
    <s v="Check out our latest text on youtube!"/>
    <n v="4934"/>
    <n v="971"/>
    <n v="156"/>
    <n v="39472"/>
    <n v="39025"/>
    <n v="169"/>
    <x v="2"/>
    <s v="SustainabilityDrive"/>
    <n v="0.15355188488042157"/>
  </r>
  <r>
    <s v="P164"/>
    <s v="YouTube"/>
    <d v="2025-02-27T00:00:00"/>
    <x v="1"/>
    <s v="Check out our latest text on youtube!"/>
    <n v="4934"/>
    <n v="971"/>
    <n v="156"/>
    <n v="39472"/>
    <n v="39025"/>
    <n v="169"/>
    <x v="1"/>
    <s v="SustainabilityDrive"/>
    <n v="0.15355188488042157"/>
  </r>
  <r>
    <s v="P165"/>
    <s v="Twitter"/>
    <d v="2024-12-11T00:00:00"/>
    <x v="1"/>
    <s v="Check out our latest text on twitter!"/>
    <n v="3239"/>
    <n v="43"/>
    <n v="211"/>
    <n v="22673"/>
    <n v="22171"/>
    <n v="230"/>
    <x v="2"/>
    <s v="ModelYCampaign"/>
    <n v="0.15405989502933004"/>
  </r>
  <r>
    <s v="P166"/>
    <s v="Twitter"/>
    <d v="2025-02-16T00:00:00"/>
    <x v="0"/>
    <s v="Check out our latest reel on twitter!"/>
    <n v="1076"/>
    <n v="313"/>
    <n v="306"/>
    <n v="11836"/>
    <n v="11596"/>
    <n v="104"/>
    <x v="0"/>
    <s v="CybertruckLaunch"/>
    <n v="0.14320716458262928"/>
  </r>
  <r>
    <s v="P167"/>
    <s v="Instagram"/>
    <d v="2024-11-28T00:00:00"/>
    <x v="1"/>
    <s v="Check out our latest text on instagram!"/>
    <n v="4771"/>
    <n v="818"/>
    <n v="56"/>
    <n v="57252"/>
    <n v="56378"/>
    <n v="150"/>
    <x v="0"/>
    <m/>
    <n v="9.859917557465242E-2"/>
  </r>
  <r>
    <s v="P168"/>
    <s v="Facebook"/>
    <d v="2024-11-12T00:00:00"/>
    <x v="1"/>
    <s v="Check out our latest text on facebook!"/>
    <n v="2418"/>
    <n v="754"/>
    <n v="54"/>
    <n v="43524"/>
    <n v="42743"/>
    <n v="182"/>
    <x v="4"/>
    <s v="CybertruckLaunch"/>
    <n v="7.412002573292896E-2"/>
  </r>
  <r>
    <s v="P169"/>
    <s v="YouTube"/>
    <d v="2024-12-03T00:00:00"/>
    <x v="5"/>
    <s v="Check out our latest video on youtube!"/>
    <n v="3809"/>
    <n v="273"/>
    <n v="200"/>
    <n v="34281"/>
    <n v="33534"/>
    <n v="83"/>
    <x v="4"/>
    <s v="CybertruckLaunch"/>
    <n v="0.12490884163239112"/>
  </r>
  <r>
    <s v="P170"/>
    <s v="Twitter"/>
    <d v="2025-04-28T00:00:00"/>
    <x v="1"/>
    <s v="Check out our latest text on twitter!"/>
    <n v="3577"/>
    <n v="596"/>
    <n v="493"/>
    <n v="67963"/>
    <n v="67839"/>
    <n v="53"/>
    <x v="2"/>
    <s v="FSDUpdate"/>
    <n v="6.8655003457763777E-2"/>
  </r>
  <r>
    <s v="P171"/>
    <s v="YouTube"/>
    <d v="2024-12-31T00:00:00"/>
    <x v="5"/>
    <s v="Check out our latest video on youtube!"/>
    <n v="1018"/>
    <n v="447"/>
    <n v="332"/>
    <n v="18324"/>
    <n v="18164"/>
    <n v="38"/>
    <x v="0"/>
    <s v="ModelYCampaign"/>
    <n v="9.8068107400130972E-2"/>
  </r>
  <r>
    <s v="P172"/>
    <s v="Facebook"/>
    <d v="2024-08-14T00:00:00"/>
    <x v="3"/>
    <s v="Check out our latest carousel on facebook!"/>
    <n v="3073"/>
    <n v="553"/>
    <n v="174"/>
    <n v="52241"/>
    <n v="51605"/>
    <n v="246"/>
    <x v="4"/>
    <s v="FSDUpdate"/>
    <n v="7.2739802071170159E-2"/>
  </r>
  <r>
    <s v="P173"/>
    <s v="Twitter"/>
    <d v="2024-12-05T00:00:00"/>
    <x v="5"/>
    <s v="Check out our latest video on twitter!"/>
    <n v="1330"/>
    <n v="925"/>
    <n v="35"/>
    <n v="15960"/>
    <n v="15379"/>
    <n v="229"/>
    <x v="0"/>
    <s v="FSDUpdate"/>
    <n v="0.14348370927318296"/>
  </r>
  <r>
    <s v="P174"/>
    <s v="Facebook"/>
    <d v="2024-06-22T00:00:00"/>
    <x v="1"/>
    <s v="Check out our latest text on facebook!"/>
    <n v="3828"/>
    <n v="148"/>
    <n v="253"/>
    <n v="30624"/>
    <n v="30229"/>
    <n v="235"/>
    <x v="4"/>
    <m/>
    <n v="0.13809430512016718"/>
  </r>
  <r>
    <s v="P175"/>
    <s v="Instagram"/>
    <d v="2025-01-17T00:00:00"/>
    <x v="0"/>
    <s v="Check out our latest reel on instagram!"/>
    <n v="142"/>
    <n v="784"/>
    <n v="183"/>
    <n v="1704"/>
    <n v="995"/>
    <n v="154"/>
    <x v="0"/>
    <s v="SustainabilityDrive"/>
    <n v="0.6508215962441315"/>
  </r>
  <r>
    <s v="P176"/>
    <s v="Facebook"/>
    <d v="2024-06-20T00:00:00"/>
    <x v="5"/>
    <s v="Check out our latest video on facebook!"/>
    <n v="3798"/>
    <n v="31"/>
    <n v="279"/>
    <n v="75960"/>
    <n v="75813"/>
    <n v="266"/>
    <x v="2"/>
    <s v="CybertruckLaunch"/>
    <n v="5.4081095313322801E-2"/>
  </r>
  <r>
    <s v="P177"/>
    <s v="Instagram"/>
    <d v="2024-07-10T00:00:00"/>
    <x v="3"/>
    <s v="Check out our latest carousel on instagram!"/>
    <n v="3099"/>
    <n v="694"/>
    <n v="171"/>
    <n v="43386"/>
    <n v="42921"/>
    <n v="52"/>
    <x v="2"/>
    <s v="FSDUpdate"/>
    <n v="9.1365878393951966E-2"/>
  </r>
  <r>
    <s v="P178"/>
    <s v="Instagram"/>
    <d v="2024-11-07T00:00:00"/>
    <x v="5"/>
    <s v="Check out our latest video on instagram!"/>
    <n v="129"/>
    <n v="643"/>
    <n v="136"/>
    <n v="1290"/>
    <n v="839"/>
    <n v="238"/>
    <x v="2"/>
    <s v="SustainabilityDrive"/>
    <n v="0.70387596899224802"/>
  </r>
  <r>
    <s v="P179"/>
    <s v="Facebook"/>
    <d v="2024-07-15T00:00:00"/>
    <x v="3"/>
    <s v="Check out our latest carousel on facebook!"/>
    <n v="3796"/>
    <n v="667"/>
    <n v="395"/>
    <n v="64532"/>
    <n v="63550"/>
    <n v="292"/>
    <x v="2"/>
    <m/>
    <n v="7.5280481001673588E-2"/>
  </r>
  <r>
    <s v="P180"/>
    <s v="YouTube"/>
    <d v="2024-12-03T00:00:00"/>
    <x v="1"/>
    <s v="Check out our latest text on youtube!"/>
    <n v="3711"/>
    <n v="352"/>
    <n v="290"/>
    <n v="48243"/>
    <n v="47579"/>
    <n v="11"/>
    <x v="2"/>
    <s v="CybertruckLaunch"/>
    <n v="9.023070704558174E-2"/>
  </r>
  <r>
    <s v="P181"/>
    <s v="YouTube"/>
    <d v="2025-03-21T00:00:00"/>
    <x v="4"/>
    <s v="Check out our latest image on youtube!"/>
    <n v="606"/>
    <n v="789"/>
    <n v="470"/>
    <n v="7878"/>
    <n v="7389"/>
    <n v="239"/>
    <x v="4"/>
    <s v="FSDUpdate"/>
    <n v="0.23673521198273673"/>
  </r>
  <r>
    <s v="P182"/>
    <s v="Facebook"/>
    <d v="2024-07-31T00:00:00"/>
    <x v="4"/>
    <s v="Check out our latest image on facebook!"/>
    <n v="4689"/>
    <n v="134"/>
    <n v="403"/>
    <n v="51579"/>
    <n v="50924"/>
    <n v="173"/>
    <x v="2"/>
    <s v="SustainabilityDrive"/>
    <n v="0.10132030477519921"/>
  </r>
  <r>
    <s v="P183"/>
    <s v="Instagram"/>
    <d v="2024-12-17T00:00:00"/>
    <x v="2"/>
    <s v="Check out our latest story on instagram!"/>
    <n v="360"/>
    <n v="590"/>
    <n v="393"/>
    <n v="4680"/>
    <n v="4322"/>
    <n v="208"/>
    <x v="0"/>
    <s v="ModelYCampaign"/>
    <n v="0.28696581196581195"/>
  </r>
  <r>
    <s v="P184"/>
    <s v="Twitter"/>
    <d v="2024-07-28T00:00:00"/>
    <x v="4"/>
    <s v="Check out our latest image on twitter!"/>
    <n v="3215"/>
    <n v="960"/>
    <n v="202"/>
    <n v="32150"/>
    <n v="31404"/>
    <n v="251"/>
    <x v="4"/>
    <s v="CybertruckLaunch"/>
    <n v="0.13614307931570763"/>
  </r>
  <r>
    <s v="P185"/>
    <s v="Instagram"/>
    <d v="2025-01-11T00:00:00"/>
    <x v="3"/>
    <s v="Check out our latest carousel on instagram!"/>
    <n v="4523"/>
    <n v="61"/>
    <n v="157"/>
    <n v="49753"/>
    <n v="49329"/>
    <n v="71"/>
    <x v="4"/>
    <m/>
    <n v="9.5290736237010829E-2"/>
  </r>
  <r>
    <s v="P186"/>
    <s v="Facebook"/>
    <d v="2024-08-24T00:00:00"/>
    <x v="3"/>
    <s v="Check out our latest carousel on facebook!"/>
    <n v="4292"/>
    <n v="51"/>
    <n v="392"/>
    <n v="55796"/>
    <n v="54826"/>
    <n v="264"/>
    <x v="4"/>
    <s v="FSDUpdate"/>
    <n v="8.4862714173059003E-2"/>
  </r>
  <r>
    <s v="P187"/>
    <s v="Twitter"/>
    <d v="2024-12-22T00:00:00"/>
    <x v="0"/>
    <s v="Check out our latest reel on twitter!"/>
    <n v="1644"/>
    <n v="546"/>
    <n v="150"/>
    <n v="27948"/>
    <n v="27184"/>
    <n v="300"/>
    <x v="4"/>
    <s v="FSDUpdate"/>
    <n v="8.3726921425504502E-2"/>
  </r>
  <r>
    <s v="P188"/>
    <s v="YouTube"/>
    <d v="2024-06-06T00:00:00"/>
    <x v="0"/>
    <s v="Check out our latest reel on youtube!"/>
    <n v="2728"/>
    <n v="533"/>
    <n v="215"/>
    <n v="40920"/>
    <n v="40816"/>
    <n v="137"/>
    <x v="0"/>
    <s v="ModelYCampaign"/>
    <n v="8.4946236559139784E-2"/>
  </r>
  <r>
    <s v="P189"/>
    <s v="Facebook"/>
    <d v="2025-03-24T00:00:00"/>
    <x v="0"/>
    <s v="Check out our latest reel on facebook!"/>
    <n v="3360"/>
    <n v="525"/>
    <n v="500"/>
    <n v="60480"/>
    <n v="59610"/>
    <n v="192"/>
    <x v="2"/>
    <s v="CybertruckLaunch"/>
    <n v="7.2503306878306875E-2"/>
  </r>
  <r>
    <s v="P190"/>
    <s v="YouTube"/>
    <d v="2024-10-04T00:00:00"/>
    <x v="1"/>
    <s v="Check out our latest text on youtube!"/>
    <n v="1963"/>
    <n v="213"/>
    <n v="19"/>
    <n v="39260"/>
    <n v="38771"/>
    <n v="145"/>
    <x v="0"/>
    <m/>
    <n v="5.5909322465613857E-2"/>
  </r>
  <r>
    <s v="P191"/>
    <s v="YouTube"/>
    <d v="2024-12-03T00:00:00"/>
    <x v="2"/>
    <s v="Check out our latest story on youtube!"/>
    <n v="4285"/>
    <n v="886"/>
    <n v="376"/>
    <n v="55705"/>
    <n v="55556"/>
    <n v="51"/>
    <x v="0"/>
    <s v="FSDUpdate"/>
    <n v="9.9578134817341346E-2"/>
  </r>
  <r>
    <s v="P192"/>
    <s v="Instagram"/>
    <d v="2024-11-29T00:00:00"/>
    <x v="5"/>
    <s v="Check out our latest video on instagram!"/>
    <n v="1176"/>
    <n v="464"/>
    <n v="394"/>
    <n v="14112"/>
    <n v="13588"/>
    <n v="272"/>
    <x v="4"/>
    <m/>
    <n v="0.1441326530612245"/>
  </r>
  <r>
    <s v="P193"/>
    <s v="Twitter"/>
    <d v="2024-09-11T00:00:00"/>
    <x v="4"/>
    <s v="Check out our latest image on twitter!"/>
    <n v="4858"/>
    <n v="317"/>
    <n v="129"/>
    <n v="53438"/>
    <n v="52687"/>
    <n v="223"/>
    <x v="4"/>
    <s v="FSDUpdate"/>
    <n v="9.9255211647142488E-2"/>
  </r>
  <r>
    <s v="P194"/>
    <s v="YouTube"/>
    <d v="2024-10-02T00:00:00"/>
    <x v="2"/>
    <s v="Check out our latest story on youtube!"/>
    <n v="4350"/>
    <n v="771"/>
    <n v="7"/>
    <n v="60900"/>
    <n v="60592"/>
    <n v="195"/>
    <x v="4"/>
    <s v="CybertruckLaunch"/>
    <n v="8.4203612479474554E-2"/>
  </r>
  <r>
    <s v="P195"/>
    <s v="Instagram"/>
    <d v="2024-08-15T00:00:00"/>
    <x v="3"/>
    <s v="Check out our latest carousel on instagram!"/>
    <n v="914"/>
    <n v="464"/>
    <n v="246"/>
    <n v="11882"/>
    <n v="11500"/>
    <n v="282"/>
    <x v="0"/>
    <s v="SustainabilityDrive"/>
    <n v="0.13667732704931829"/>
  </r>
  <r>
    <s v="P195"/>
    <s v="Instagram"/>
    <d v="2024-08-15T00:00:00"/>
    <x v="3"/>
    <s v="Check out our latest carousel on instagram!"/>
    <n v="914"/>
    <n v="464"/>
    <n v="246"/>
    <n v="11882"/>
    <n v="11500"/>
    <n v="282"/>
    <x v="2"/>
    <s v="SustainabilityDrive"/>
    <n v="0.13667732704931829"/>
  </r>
  <r>
    <s v="P195"/>
    <s v="Instagram"/>
    <d v="2024-08-15T00:00:00"/>
    <x v="3"/>
    <s v="Check out our latest carousel on instagram!"/>
    <n v="914"/>
    <n v="464"/>
    <n v="246"/>
    <n v="11882"/>
    <n v="11500"/>
    <n v="282"/>
    <x v="1"/>
    <s v="SustainabilityDrive"/>
    <n v="0.13667732704931829"/>
  </r>
  <r>
    <s v="P196"/>
    <s v="Instagram"/>
    <d v="2024-12-19T00:00:00"/>
    <x v="1"/>
    <s v="Check out our latest text on instagram!"/>
    <n v="1813"/>
    <n v="623"/>
    <n v="72"/>
    <n v="19943"/>
    <n v="18959"/>
    <n v="85"/>
    <x v="4"/>
    <s v="FSDUpdate"/>
    <n v="0.12575841147269717"/>
  </r>
  <r>
    <s v="P197"/>
    <s v="Twitter"/>
    <d v="2024-10-22T00:00:00"/>
    <x v="0"/>
    <s v="Check out our latest reel on twitter!"/>
    <n v="4782"/>
    <n v="721"/>
    <n v="82"/>
    <n v="86076"/>
    <n v="85339"/>
    <n v="19"/>
    <x v="4"/>
    <s v="CybertruckLaunch"/>
    <n v="6.4884520656164318E-2"/>
  </r>
  <r>
    <s v="P198"/>
    <s v="Twitter"/>
    <d v="2024-09-14T00:00:00"/>
    <x v="4"/>
    <s v="Check out our latest image on twitter!"/>
    <n v="1048"/>
    <n v="374"/>
    <n v="450"/>
    <n v="9432"/>
    <n v="8882"/>
    <n v="158"/>
    <x v="2"/>
    <s v="FSDUpdate"/>
    <n v="0.19847328244274809"/>
  </r>
  <r>
    <s v="P199"/>
    <s v="YouTube"/>
    <d v="2024-11-30T00:00:00"/>
    <x v="3"/>
    <s v="Check out our latest carousel on youtube!"/>
    <n v="2509"/>
    <n v="324"/>
    <n v="171"/>
    <n v="35126"/>
    <n v="34685"/>
    <n v="277"/>
    <x v="2"/>
    <s v="ModelYCampaign"/>
    <n v="8.5520696919660646E-2"/>
  </r>
  <r>
    <s v="P200"/>
    <s v="Facebook"/>
    <d v="2025-04-07T00:00:00"/>
    <x v="0"/>
    <s v="Check out our latest reel on facebook!"/>
    <n v="3718"/>
    <n v="385"/>
    <n v="310"/>
    <n v="70642"/>
    <n v="69749"/>
    <n v="233"/>
    <x v="2"/>
    <s v="ModelYCampaign"/>
    <n v="6.246991874522239E-2"/>
  </r>
  <r>
    <s v="P201"/>
    <s v="Twitter"/>
    <d v="2025-01-15T00:00:00"/>
    <x v="0"/>
    <s v="Check out our latest reel on twitter!"/>
    <n v="802"/>
    <n v="262"/>
    <n v="244"/>
    <n v="14436"/>
    <n v="14280"/>
    <n v="49"/>
    <x v="4"/>
    <s v="CybertruckLaunch"/>
    <n v="9.0606816292601824E-2"/>
  </r>
  <r>
    <s v="P202"/>
    <s v="Facebook"/>
    <d v="2024-06-02T00:00:00"/>
    <x v="4"/>
    <s v="Check out our latest image on facebook!"/>
    <n v="1871"/>
    <n v="252"/>
    <n v="335"/>
    <n v="29936"/>
    <n v="29576"/>
    <n v="288"/>
    <x v="4"/>
    <s v="FSDUpdate"/>
    <n v="8.2108498129342594E-2"/>
  </r>
  <r>
    <s v="P203"/>
    <s v="Instagram"/>
    <d v="2024-11-21T00:00:00"/>
    <x v="3"/>
    <s v="Check out our latest carousel on instagram!"/>
    <n v="3773"/>
    <n v="299"/>
    <n v="38"/>
    <n v="71687"/>
    <n v="71447"/>
    <n v="286"/>
    <x v="0"/>
    <s v="CybertruckLaunch"/>
    <n v="5.7332570758993957E-2"/>
  </r>
  <r>
    <s v="P204"/>
    <s v="Instagram"/>
    <d v="2025-01-01T00:00:00"/>
    <x v="3"/>
    <s v="Check out our latest carousel on instagram!"/>
    <n v="2234"/>
    <n v="653"/>
    <n v="432"/>
    <n v="11170"/>
    <n v="10569"/>
    <n v="198"/>
    <x v="0"/>
    <s v="FSDUpdate"/>
    <n v="0.29713518352730528"/>
  </r>
  <r>
    <s v="P205"/>
    <s v="Twitter"/>
    <d v="2025-04-24T00:00:00"/>
    <x v="5"/>
    <s v="Check out our latest video on twitter!"/>
    <n v="3820"/>
    <n v="697"/>
    <n v="268"/>
    <n v="45840"/>
    <n v="45631"/>
    <n v="171"/>
    <x v="2"/>
    <s v="SustainabilityDrive"/>
    <n v="0.1043848167539267"/>
  </r>
  <r>
    <s v="P205"/>
    <s v="Twitter"/>
    <d v="2025-04-24T00:00:00"/>
    <x v="5"/>
    <s v="Check out our latest video on twitter!"/>
    <n v="3820"/>
    <n v="697"/>
    <n v="268"/>
    <n v="45840"/>
    <n v="45631"/>
    <n v="171"/>
    <x v="5"/>
    <s v="SustainabilityDrive"/>
    <n v="0.1043848167539267"/>
  </r>
  <r>
    <s v="P206"/>
    <s v="Twitter"/>
    <d v="2024-06-24T00:00:00"/>
    <x v="1"/>
    <s v="Check out our latest text on twitter!"/>
    <n v="941"/>
    <n v="121"/>
    <n v="458"/>
    <n v="14115"/>
    <n v="13838"/>
    <n v="87"/>
    <x v="4"/>
    <s v="CybertruckLaunch"/>
    <n v="0.10768685795253277"/>
  </r>
  <r>
    <s v="P207"/>
    <s v="Twitter"/>
    <d v="2024-12-29T00:00:00"/>
    <x v="3"/>
    <s v="Check out our latest carousel on twitter!"/>
    <n v="4274"/>
    <n v="340"/>
    <n v="281"/>
    <n v="34192"/>
    <n v="33446"/>
    <n v="129"/>
    <x v="2"/>
    <s v="FSDUpdate"/>
    <n v="0.14316214319138981"/>
  </r>
  <r>
    <s v="P207"/>
    <s v="Twitter"/>
    <d v="2024-12-29T00:00:00"/>
    <x v="3"/>
    <s v="Check out our latest carousel on twitter!"/>
    <n v="4274"/>
    <n v="340"/>
    <n v="281"/>
    <n v="34192"/>
    <n v="33446"/>
    <n v="129"/>
    <x v="5"/>
    <s v="FSDUpdate"/>
    <n v="0.14316214319138981"/>
  </r>
  <r>
    <s v="P208"/>
    <s v="YouTube"/>
    <d v="2024-06-24T00:00:00"/>
    <x v="5"/>
    <s v="Check out our latest video on youtube!"/>
    <n v="2949"/>
    <n v="476"/>
    <n v="403"/>
    <n v="44235"/>
    <n v="43705"/>
    <n v="135"/>
    <x v="2"/>
    <s v="ModelYCampaign"/>
    <n v="8.6537809426924378E-2"/>
  </r>
  <r>
    <s v="P209"/>
    <s v="Twitter"/>
    <d v="2025-03-19T00:00:00"/>
    <x v="5"/>
    <s v="Check out our latest video on twitter!"/>
    <n v="3160"/>
    <n v="204"/>
    <n v="297"/>
    <n v="44240"/>
    <n v="43666"/>
    <n v="49"/>
    <x v="0"/>
    <s v="SustainabilityDrive"/>
    <n v="8.2753164556962022E-2"/>
  </r>
  <r>
    <s v="P209"/>
    <s v="Twitter"/>
    <d v="2025-03-19T00:00:00"/>
    <x v="5"/>
    <s v="Check out our latest video on twitter!"/>
    <n v="3160"/>
    <n v="204"/>
    <n v="297"/>
    <n v="44240"/>
    <n v="43666"/>
    <n v="49"/>
    <x v="1"/>
    <s v="SustainabilityDrive"/>
    <n v="8.2753164556962022E-2"/>
  </r>
  <r>
    <s v="P210"/>
    <s v="YouTube"/>
    <d v="2025-02-19T00:00:00"/>
    <x v="4"/>
    <s v="Check out our latest image on youtube!"/>
    <n v="257"/>
    <n v="966"/>
    <n v="398"/>
    <n v="3341"/>
    <n v="2753"/>
    <n v="287"/>
    <x v="0"/>
    <s v="CybertruckLaunch"/>
    <n v="0.48518407662376534"/>
  </r>
  <r>
    <s v="P211"/>
    <s v="Twitter"/>
    <d v="2024-07-18T00:00:00"/>
    <x v="3"/>
    <s v="Check out our latest carousel on twitter!"/>
    <n v="2120"/>
    <n v="38"/>
    <n v="212"/>
    <n v="12720"/>
    <n v="12564"/>
    <n v="21"/>
    <x v="0"/>
    <s v="SustainabilityDrive"/>
    <n v="0.18632075471698112"/>
  </r>
  <r>
    <s v="P212"/>
    <s v="YouTube"/>
    <d v="2025-03-03T00:00:00"/>
    <x v="5"/>
    <s v="Check out our latest video on youtube!"/>
    <n v="3874"/>
    <n v="884"/>
    <n v="19"/>
    <n v="38740"/>
    <n v="38552"/>
    <n v="219"/>
    <x v="2"/>
    <s v="ModelYCampaign"/>
    <n v="0.123309241094476"/>
  </r>
  <r>
    <s v="P213"/>
    <s v="Facebook"/>
    <d v="2025-05-01T00:00:00"/>
    <x v="3"/>
    <s v="Check out our latest carousel on facebook!"/>
    <n v="2696"/>
    <n v="628"/>
    <n v="443"/>
    <n v="45832"/>
    <n v="45632"/>
    <n v="248"/>
    <x v="4"/>
    <s v="SustainabilityDrive"/>
    <n v="8.21914819340199E-2"/>
  </r>
  <r>
    <s v="P214"/>
    <s v="Instagram"/>
    <d v="2024-12-23T00:00:00"/>
    <x v="4"/>
    <s v="Check out our latest image on instagram!"/>
    <n v="521"/>
    <n v="746"/>
    <n v="315"/>
    <n v="4168"/>
    <n v="3399"/>
    <n v="282"/>
    <x v="0"/>
    <s v="ModelYCampaign"/>
    <n v="0.37955854126679461"/>
  </r>
  <r>
    <s v="P215"/>
    <s v="Facebook"/>
    <d v="2025-05-06T00:00:00"/>
    <x v="4"/>
    <s v="Check out our latest image on facebook!"/>
    <n v="4872"/>
    <n v="925"/>
    <n v="176"/>
    <n v="82824"/>
    <n v="82543"/>
    <n v="89"/>
    <x v="4"/>
    <s v="ModelYCampaign"/>
    <n v="7.2116777745580993E-2"/>
  </r>
  <r>
    <s v="P216"/>
    <s v="YouTube"/>
    <d v="2024-07-29T00:00:00"/>
    <x v="2"/>
    <s v="Check out our latest story on youtube!"/>
    <n v="1509"/>
    <n v="88"/>
    <n v="163"/>
    <n v="30180"/>
    <n v="29689"/>
    <n v="119"/>
    <x v="4"/>
    <s v="ModelYCampaign"/>
    <n v="5.8316766070245198E-2"/>
  </r>
  <r>
    <s v="P217"/>
    <s v="Facebook"/>
    <d v="2024-12-03T00:00:00"/>
    <x v="4"/>
    <s v="Check out our latest image on facebook!"/>
    <n v="4606"/>
    <n v="931"/>
    <n v="230"/>
    <n v="92120"/>
    <n v="91440"/>
    <n v="56"/>
    <x v="2"/>
    <m/>
    <n v="6.2603126356925748E-2"/>
  </r>
  <r>
    <s v="P218"/>
    <s v="Facebook"/>
    <d v="2024-06-11T00:00:00"/>
    <x v="3"/>
    <s v="Check out our latest carousel on facebook!"/>
    <n v="1869"/>
    <n v="453"/>
    <n v="490"/>
    <n v="14952"/>
    <n v="14309"/>
    <n v="275"/>
    <x v="2"/>
    <s v="SustainabilityDrive"/>
    <n v="0.18806848582129482"/>
  </r>
  <r>
    <s v="P219"/>
    <s v="Twitter"/>
    <d v="2025-01-28T00:00:00"/>
    <x v="0"/>
    <s v="Check out our latest reel on twitter!"/>
    <n v="1188"/>
    <n v="470"/>
    <n v="174"/>
    <n v="7128"/>
    <n v="6145"/>
    <n v="270"/>
    <x v="2"/>
    <s v="SustainabilityDrive"/>
    <n v="0.25701459034792368"/>
  </r>
  <r>
    <s v="P220"/>
    <s v="Instagram"/>
    <d v="2024-06-02T00:00:00"/>
    <x v="2"/>
    <s v="Check out our latest story on instagram!"/>
    <n v="84"/>
    <n v="897"/>
    <n v="85"/>
    <n v="588"/>
    <n v="8"/>
    <n v="12"/>
    <x v="4"/>
    <m/>
    <n v="1.8129251700680271"/>
  </r>
  <r>
    <s v="P221"/>
    <s v="Facebook"/>
    <d v="2025-03-23T00:00:00"/>
    <x v="5"/>
    <s v="Check out our latest video on facebook!"/>
    <n v="4453"/>
    <n v="111"/>
    <n v="420"/>
    <n v="31171"/>
    <n v="30565"/>
    <n v="23"/>
    <x v="2"/>
    <m/>
    <n v="0.15989220750056141"/>
  </r>
  <r>
    <s v="P222"/>
    <s v="Facebook"/>
    <d v="2024-10-08T00:00:00"/>
    <x v="0"/>
    <s v="Check out our latest reel on facebook!"/>
    <n v="1814"/>
    <n v="653"/>
    <n v="363"/>
    <n v="25396"/>
    <n v="25286"/>
    <n v="39"/>
    <x v="0"/>
    <s v="CybertruckLaunch"/>
    <n v="0.11143487163332809"/>
  </r>
  <r>
    <s v="P222"/>
    <s v="Facebook"/>
    <d v="2024-10-08T00:00:00"/>
    <x v="0"/>
    <s v="Check out our latest reel on facebook!"/>
    <n v="1814"/>
    <n v="653"/>
    <n v="363"/>
    <n v="25396"/>
    <n v="25286"/>
    <n v="39"/>
    <x v="5"/>
    <s v="CybertruckLaunch"/>
    <n v="0.11143487163332809"/>
  </r>
  <r>
    <s v="P223"/>
    <s v="Twitter"/>
    <d v="2024-11-12T00:00:00"/>
    <x v="4"/>
    <s v="Check out our latest image on twitter!"/>
    <n v="3338"/>
    <n v="277"/>
    <n v="118"/>
    <n v="60084"/>
    <n v="59842"/>
    <n v="252"/>
    <x v="2"/>
    <m/>
    <n v="6.2129685107516146E-2"/>
  </r>
  <r>
    <s v="P224"/>
    <s v="Facebook"/>
    <d v="2025-05-13T00:00:00"/>
    <x v="4"/>
    <s v="Check out our latest image on facebook!"/>
    <n v="602"/>
    <n v="594"/>
    <n v="156"/>
    <n v="4214"/>
    <n v="3363"/>
    <n v="164"/>
    <x v="2"/>
    <s v="FSDUpdate"/>
    <n v="0.32083531086853345"/>
  </r>
  <r>
    <s v="P225"/>
    <s v="Twitter"/>
    <d v="2024-06-20T00:00:00"/>
    <x v="3"/>
    <s v="Check out our latest carousel on twitter!"/>
    <n v="4672"/>
    <n v="325"/>
    <n v="32"/>
    <n v="88768"/>
    <n v="87833"/>
    <n v="118"/>
    <x v="4"/>
    <m/>
    <n v="5.6653298485940883E-2"/>
  </r>
  <r>
    <s v="P226"/>
    <s v="Instagram"/>
    <d v="2024-08-07T00:00:00"/>
    <x v="3"/>
    <s v="Check out our latest carousel on instagram!"/>
    <n v="1741"/>
    <n v="164"/>
    <n v="318"/>
    <n v="8705"/>
    <n v="8272"/>
    <n v="121"/>
    <x v="2"/>
    <m/>
    <n v="0.25537047673750718"/>
  </r>
  <r>
    <s v="P227"/>
    <s v="Instagram"/>
    <d v="2024-06-12T00:00:00"/>
    <x v="1"/>
    <s v="Check out our latest text on instagram!"/>
    <n v="246"/>
    <n v="149"/>
    <n v="130"/>
    <n v="4674"/>
    <n v="4390"/>
    <n v="217"/>
    <x v="0"/>
    <s v="FSDUpdate"/>
    <n v="0.11232349165596919"/>
  </r>
  <r>
    <s v="P228"/>
    <s v="Instagram"/>
    <d v="2024-07-01T00:00:00"/>
    <x v="2"/>
    <s v="Check out our latest story on instagram!"/>
    <n v="4808"/>
    <n v="772"/>
    <n v="320"/>
    <n v="72120"/>
    <n v="71696"/>
    <n v="195"/>
    <x v="4"/>
    <s v="CybertruckLaunch"/>
    <n v="8.1808097615085965E-2"/>
  </r>
  <r>
    <s v="P229"/>
    <s v="Instagram"/>
    <d v="2024-07-03T00:00:00"/>
    <x v="3"/>
    <s v="Check out our latest carousel on instagram!"/>
    <n v="4799"/>
    <n v="694"/>
    <n v="289"/>
    <n v="43191"/>
    <n v="42228"/>
    <n v="118"/>
    <x v="2"/>
    <m/>
    <n v="0.13387048227640017"/>
  </r>
  <r>
    <s v="P230"/>
    <s v="Facebook"/>
    <d v="2024-07-15T00:00:00"/>
    <x v="0"/>
    <s v="Check out our latest reel on facebook!"/>
    <n v="3663"/>
    <n v="17"/>
    <n v="295"/>
    <n v="51282"/>
    <n v="50567"/>
    <n v="84"/>
    <x v="4"/>
    <s v="FSDUpdate"/>
    <n v="7.7512577512577507E-2"/>
  </r>
  <r>
    <s v="P231"/>
    <s v="Instagram"/>
    <d v="2025-05-01T00:00:00"/>
    <x v="1"/>
    <s v="Check out our latest text on instagram!"/>
    <n v="1430"/>
    <n v="376"/>
    <n v="33"/>
    <n v="21450"/>
    <n v="20509"/>
    <n v="251"/>
    <x v="0"/>
    <s v="CybertruckLaunch"/>
    <n v="8.5734265734265735E-2"/>
  </r>
  <r>
    <s v="P232"/>
    <s v="Twitter"/>
    <d v="2025-04-29T00:00:00"/>
    <x v="2"/>
    <s v="Check out our latest story on twitter!"/>
    <n v="249"/>
    <n v="592"/>
    <n v="230"/>
    <n v="1494"/>
    <n v="1044"/>
    <n v="201"/>
    <x v="4"/>
    <s v="SustainabilityDrive"/>
    <n v="0.7168674698795181"/>
  </r>
  <r>
    <s v="P233"/>
    <s v="Facebook"/>
    <d v="2025-03-08T00:00:00"/>
    <x v="4"/>
    <s v="Check out our latest image on facebook!"/>
    <n v="2382"/>
    <n v="265"/>
    <n v="134"/>
    <n v="38112"/>
    <n v="37437"/>
    <n v="249"/>
    <x v="0"/>
    <s v="SustainabilityDrive"/>
    <n v="7.2969143576826198E-2"/>
  </r>
  <r>
    <s v="P234"/>
    <s v="Facebook"/>
    <d v="2024-06-01T00:00:00"/>
    <x v="1"/>
    <s v="Check out our latest text on facebook!"/>
    <n v="1272"/>
    <n v="465"/>
    <n v="99"/>
    <n v="24168"/>
    <n v="23719"/>
    <n v="42"/>
    <x v="2"/>
    <m/>
    <n v="7.5968222442899705E-2"/>
  </r>
  <r>
    <s v="P235"/>
    <s v="Facebook"/>
    <d v="2024-12-22T00:00:00"/>
    <x v="4"/>
    <s v="Check out our latest image on facebook!"/>
    <n v="3196"/>
    <n v="941"/>
    <n v="376"/>
    <n v="35156"/>
    <n v="34444"/>
    <n v="241"/>
    <x v="2"/>
    <s v="FSDUpdate"/>
    <n v="0.1283706906360223"/>
  </r>
  <r>
    <s v="P236"/>
    <s v="Facebook"/>
    <d v="2024-08-19T00:00:00"/>
    <x v="1"/>
    <s v="Check out our latest text on facebook!"/>
    <n v="1257"/>
    <n v="19"/>
    <n v="351"/>
    <n v="12570"/>
    <n v="11660"/>
    <n v="194"/>
    <x v="0"/>
    <s v="ModelYCampaign"/>
    <n v="0.12943516308671441"/>
  </r>
  <r>
    <s v="P236"/>
    <s v="Facebook"/>
    <d v="2024-08-19T00:00:00"/>
    <x v="1"/>
    <s v="Check out our latest text on facebook!"/>
    <n v="1257"/>
    <n v="19"/>
    <n v="351"/>
    <n v="12570"/>
    <n v="11660"/>
    <n v="194"/>
    <x v="1"/>
    <s v="ModelYCampaign"/>
    <n v="0.12943516308671441"/>
  </r>
  <r>
    <s v="P236"/>
    <s v="Facebook"/>
    <d v="2024-08-19T00:00:00"/>
    <x v="1"/>
    <s v="Check out our latest text on facebook!"/>
    <n v="1257"/>
    <n v="19"/>
    <n v="351"/>
    <n v="12570"/>
    <n v="11660"/>
    <n v="194"/>
    <x v="4"/>
    <s v="ModelYCampaign"/>
    <n v="0.12943516308671441"/>
  </r>
  <r>
    <s v="P237"/>
    <s v="Instagram"/>
    <d v="2024-10-22T00:00:00"/>
    <x v="2"/>
    <s v="Check out our latest story on instagram!"/>
    <n v="3770"/>
    <n v="917"/>
    <n v="129"/>
    <n v="71630"/>
    <n v="71322"/>
    <n v="76"/>
    <x v="0"/>
    <s v="CybertruckLaunch"/>
    <n v="6.7234398994834563E-2"/>
  </r>
  <r>
    <s v="P238"/>
    <s v="Twitter"/>
    <d v="2024-07-16T00:00:00"/>
    <x v="1"/>
    <s v="Check out our latest text on twitter!"/>
    <n v="4725"/>
    <n v="400"/>
    <n v="362"/>
    <n v="75600"/>
    <n v="74927"/>
    <n v="43"/>
    <x v="0"/>
    <s v="SustainabilityDrive"/>
    <n v="7.2579365079365077E-2"/>
  </r>
  <r>
    <s v="P239"/>
    <s v="YouTube"/>
    <d v="2025-02-24T00:00:00"/>
    <x v="1"/>
    <s v="Check out our latest text on youtube!"/>
    <n v="4188"/>
    <n v="942"/>
    <n v="118"/>
    <n v="20940"/>
    <n v="20471"/>
    <n v="102"/>
    <x v="0"/>
    <m/>
    <n v="0.25062082139446035"/>
  </r>
  <r>
    <s v="P240"/>
    <s v="Twitter"/>
    <d v="2024-08-26T00:00:00"/>
    <x v="3"/>
    <s v="Check out our latest carousel on twitter!"/>
    <n v="929"/>
    <n v="192"/>
    <n v="322"/>
    <n v="16722"/>
    <n v="15996"/>
    <n v="145"/>
    <x v="4"/>
    <s v="FSDUpdate"/>
    <n v="8.6293505561535699E-2"/>
  </r>
  <r>
    <s v="P240"/>
    <s v="Twitter"/>
    <d v="2024-08-26T00:00:00"/>
    <x v="3"/>
    <s v="Check out our latest carousel on twitter!"/>
    <n v="929"/>
    <n v="192"/>
    <n v="322"/>
    <n v="16722"/>
    <n v="15996"/>
    <n v="145"/>
    <x v="2"/>
    <s v="FSDUpdate"/>
    <n v="8.6293505561535699E-2"/>
  </r>
  <r>
    <s v="P240"/>
    <s v="Twitter"/>
    <d v="2024-08-26T00:00:00"/>
    <x v="3"/>
    <s v="Check out our latest carousel on twitter!"/>
    <n v="929"/>
    <n v="192"/>
    <n v="322"/>
    <n v="16722"/>
    <n v="15996"/>
    <n v="145"/>
    <x v="1"/>
    <s v="FSDUpdate"/>
    <n v="8.6293505561535699E-2"/>
  </r>
  <r>
    <s v="P241"/>
    <s v="Facebook"/>
    <d v="2025-01-18T00:00:00"/>
    <x v="2"/>
    <s v="Check out our latest story on facebook!"/>
    <n v="4321"/>
    <n v="874"/>
    <n v="172"/>
    <n v="30247"/>
    <n v="29254"/>
    <n v="122"/>
    <x v="2"/>
    <s v="SustainabilityDrive"/>
    <n v="0.17743908486792079"/>
  </r>
  <r>
    <s v="P242"/>
    <s v="Facebook"/>
    <d v="2024-07-07T00:00:00"/>
    <x v="0"/>
    <s v="Check out our latest reel on facebook!"/>
    <n v="4767"/>
    <n v="190"/>
    <n v="340"/>
    <n v="28602"/>
    <n v="28044"/>
    <n v="210"/>
    <x v="4"/>
    <s v="FSDUpdate"/>
    <n v="0.18519683938186141"/>
  </r>
  <r>
    <s v="P243"/>
    <s v="Twitter"/>
    <d v="2025-03-06T00:00:00"/>
    <x v="4"/>
    <s v="Check out our latest image on twitter!"/>
    <n v="3592"/>
    <n v="911"/>
    <n v="375"/>
    <n v="50288"/>
    <n v="49490"/>
    <n v="32"/>
    <x v="0"/>
    <s v="SustainabilityDrive"/>
    <n v="9.7001272669424113E-2"/>
  </r>
  <r>
    <s v="P244"/>
    <s v="YouTube"/>
    <d v="2024-10-25T00:00:00"/>
    <x v="5"/>
    <s v="Check out our latest video on youtube!"/>
    <n v="4661"/>
    <n v="935"/>
    <n v="433"/>
    <n v="23305"/>
    <n v="22583"/>
    <n v="63"/>
    <x v="0"/>
    <s v="FSDUpdate"/>
    <n v="0.25869984981763572"/>
  </r>
  <r>
    <s v="P245"/>
    <s v="Facebook"/>
    <d v="2025-01-12T00:00:00"/>
    <x v="0"/>
    <s v="Check out our latest reel on facebook!"/>
    <n v="4134"/>
    <n v="824"/>
    <n v="99"/>
    <n v="41340"/>
    <n v="41050"/>
    <n v="177"/>
    <x v="4"/>
    <s v="CybertruckLaunch"/>
    <n v="0.12232704402515723"/>
  </r>
  <r>
    <s v="P246"/>
    <s v="Facebook"/>
    <d v="2024-10-11T00:00:00"/>
    <x v="4"/>
    <s v="Check out our latest image on facebook!"/>
    <n v="400"/>
    <n v="680"/>
    <n v="434"/>
    <n v="6400"/>
    <n v="5472"/>
    <n v="160"/>
    <x v="0"/>
    <s v="ModelYCampaign"/>
    <n v="0.23656250000000001"/>
  </r>
  <r>
    <s v="P247"/>
    <s v="Facebook"/>
    <d v="2024-08-27T00:00:00"/>
    <x v="0"/>
    <s v="Check out our latest reel on facebook!"/>
    <n v="3960"/>
    <n v="266"/>
    <n v="8"/>
    <n v="35640"/>
    <n v="34850"/>
    <n v="208"/>
    <x v="0"/>
    <m/>
    <n v="0.11879910213243547"/>
  </r>
  <r>
    <s v="P247"/>
    <s v="Facebook"/>
    <d v="2024-08-27T00:00:00"/>
    <x v="0"/>
    <s v="Check out our latest reel on facebook!"/>
    <n v="3960"/>
    <n v="266"/>
    <n v="8"/>
    <n v="35640"/>
    <n v="34850"/>
    <n v="208"/>
    <x v="4"/>
    <m/>
    <n v="0.11879910213243547"/>
  </r>
  <r>
    <s v="P247"/>
    <s v="Facebook"/>
    <d v="2024-08-27T00:00:00"/>
    <x v="0"/>
    <s v="Check out our latest reel on facebook!"/>
    <n v="3960"/>
    <n v="266"/>
    <n v="8"/>
    <n v="35640"/>
    <n v="34850"/>
    <n v="208"/>
    <x v="3"/>
    <m/>
    <n v="0.11879910213243547"/>
  </r>
  <r>
    <s v="P248"/>
    <s v="Facebook"/>
    <d v="2025-02-02T00:00:00"/>
    <x v="2"/>
    <s v="Check out our latest story on facebook!"/>
    <n v="886"/>
    <n v="126"/>
    <n v="153"/>
    <n v="4430"/>
    <n v="4037"/>
    <n v="212"/>
    <x v="4"/>
    <m/>
    <n v="0.26297968397291194"/>
  </r>
  <r>
    <s v="P249"/>
    <s v="Twitter"/>
    <d v="2024-07-18T00:00:00"/>
    <x v="4"/>
    <s v="Check out our latest image on twitter!"/>
    <n v="827"/>
    <n v="77"/>
    <n v="402"/>
    <n v="14886"/>
    <n v="14129"/>
    <n v="254"/>
    <x v="4"/>
    <s v="ModelYCampaign"/>
    <n v="8.7733440816874911E-2"/>
  </r>
  <r>
    <s v="P250"/>
    <s v="Facebook"/>
    <d v="2024-06-22T00:00:00"/>
    <x v="0"/>
    <s v="Check out our latest reel on facebook!"/>
    <n v="3813"/>
    <n v="935"/>
    <n v="274"/>
    <n v="68634"/>
    <n v="68488"/>
    <n v="251"/>
    <x v="0"/>
    <m/>
    <n v="7.3170731707317069E-2"/>
  </r>
  <r>
    <s v="P251"/>
    <s v="Instagram"/>
    <d v="2025-03-27T00:00:00"/>
    <x v="3"/>
    <s v="Check out our latest carousel on instagram!"/>
    <n v="1377"/>
    <n v="796"/>
    <n v="387"/>
    <n v="22032"/>
    <n v="21869"/>
    <n v="189"/>
    <x v="0"/>
    <m/>
    <n v="0.11619462599854757"/>
  </r>
  <r>
    <s v="P252"/>
    <s v="Facebook"/>
    <d v="2025-04-28T00:00:00"/>
    <x v="3"/>
    <s v="Check out our latest carousel on facebook!"/>
    <n v="2089"/>
    <n v="476"/>
    <n v="69"/>
    <n v="16712"/>
    <n v="16309"/>
    <n v="64"/>
    <x v="0"/>
    <s v="FSDUpdate"/>
    <n v="0.15761129727142173"/>
  </r>
  <r>
    <s v="P253"/>
    <s v="Twitter"/>
    <d v="2024-08-03T00:00:00"/>
    <x v="0"/>
    <s v="Check out our latest reel on twitter!"/>
    <n v="3791"/>
    <n v="593"/>
    <n v="228"/>
    <n v="53074"/>
    <n v="52613"/>
    <n v="205"/>
    <x v="4"/>
    <m/>
    <n v="8.6897539284772202E-2"/>
  </r>
  <r>
    <s v="P254"/>
    <s v="Twitter"/>
    <d v="2025-01-14T00:00:00"/>
    <x v="4"/>
    <s v="Check out our latest image on twitter!"/>
    <n v="2692"/>
    <n v="115"/>
    <n v="64"/>
    <n v="21536"/>
    <n v="21120"/>
    <n v="224"/>
    <x v="0"/>
    <s v="ModelYCampaign"/>
    <n v="0.13331166419019316"/>
  </r>
  <r>
    <s v="P255"/>
    <s v="Facebook"/>
    <d v="2025-04-03T00:00:00"/>
    <x v="2"/>
    <s v="Check out our latest story on facebook!"/>
    <n v="3767"/>
    <n v="514"/>
    <n v="238"/>
    <n v="37670"/>
    <n v="36807"/>
    <n v="226"/>
    <x v="0"/>
    <s v="SustainabilityDrive"/>
    <n v="0.11996283514733209"/>
  </r>
  <r>
    <s v="P256"/>
    <s v="YouTube"/>
    <d v="2024-09-18T00:00:00"/>
    <x v="3"/>
    <s v="Check out our latest carousel on youtube!"/>
    <n v="2143"/>
    <n v="12"/>
    <n v="204"/>
    <n v="40717"/>
    <n v="40125"/>
    <n v="248"/>
    <x v="4"/>
    <s v="ModelYCampaign"/>
    <n v="5.7936488444630008E-2"/>
  </r>
  <r>
    <s v="P257"/>
    <s v="Facebook"/>
    <d v="2025-04-06T00:00:00"/>
    <x v="4"/>
    <s v="Check out our latest image on facebook!"/>
    <n v="3090"/>
    <n v="697"/>
    <n v="164"/>
    <n v="49440"/>
    <n v="48524"/>
    <n v="25"/>
    <x v="4"/>
    <s v="ModelYCampaign"/>
    <n v="7.9915048543689318E-2"/>
  </r>
  <r>
    <s v="P257"/>
    <s v="Facebook"/>
    <d v="2025-04-06T00:00:00"/>
    <x v="4"/>
    <s v="Check out our latest image on facebook!"/>
    <n v="3090"/>
    <n v="697"/>
    <n v="164"/>
    <n v="49440"/>
    <n v="48524"/>
    <n v="25"/>
    <x v="4"/>
    <s v="ModelYCampaign"/>
    <n v="7.9915048543689318E-2"/>
  </r>
  <r>
    <s v="P257"/>
    <s v="Facebook"/>
    <d v="2025-04-06T00:00:00"/>
    <x v="4"/>
    <s v="Check out our latest image on facebook!"/>
    <n v="3090"/>
    <n v="697"/>
    <n v="164"/>
    <n v="49440"/>
    <n v="48524"/>
    <n v="25"/>
    <x v="3"/>
    <s v="ModelYCampaign"/>
    <n v="7.9915048543689318E-2"/>
  </r>
  <r>
    <s v="P258"/>
    <s v="Instagram"/>
    <d v="2024-08-05T00:00:00"/>
    <x v="2"/>
    <s v="Check out our latest story on instagram!"/>
    <n v="3601"/>
    <n v="695"/>
    <n v="75"/>
    <n v="21606"/>
    <n v="21454"/>
    <n v="172"/>
    <x v="4"/>
    <s v="ModelYCampaign"/>
    <n v="0.2023049153013052"/>
  </r>
  <r>
    <s v="P259"/>
    <s v="Facebook"/>
    <d v="2025-02-10T00:00:00"/>
    <x v="1"/>
    <s v="Check out our latest text on facebook!"/>
    <n v="562"/>
    <n v="158"/>
    <n v="149"/>
    <n v="3372"/>
    <n v="2940"/>
    <n v="93"/>
    <x v="2"/>
    <s v="CybertruckLaunch"/>
    <n v="0.25771055753262156"/>
  </r>
  <r>
    <s v="P260"/>
    <s v="Instagram"/>
    <d v="2025-02-12T00:00:00"/>
    <x v="2"/>
    <s v="Check out our latest story on instagram!"/>
    <n v="4332"/>
    <n v="771"/>
    <n v="219"/>
    <n v="60648"/>
    <n v="60397"/>
    <n v="10"/>
    <x v="2"/>
    <s v="FSDUpdate"/>
    <n v="8.7752275425405618E-2"/>
  </r>
  <r>
    <s v="P260"/>
    <s v="Instagram"/>
    <d v="2025-02-12T00:00:00"/>
    <x v="2"/>
    <s v="Check out our latest story on instagram!"/>
    <n v="4332"/>
    <n v="771"/>
    <n v="219"/>
    <n v="60648"/>
    <n v="60397"/>
    <n v="10"/>
    <x v="4"/>
    <s v="FSDUpdate"/>
    <n v="8.7752275425405618E-2"/>
  </r>
  <r>
    <s v="P260"/>
    <s v="Instagram"/>
    <d v="2025-02-12T00:00:00"/>
    <x v="2"/>
    <s v="Check out our latest story on instagram!"/>
    <n v="4332"/>
    <n v="771"/>
    <n v="219"/>
    <n v="60648"/>
    <n v="60397"/>
    <n v="10"/>
    <x v="3"/>
    <s v="FSDUpdate"/>
    <n v="8.7752275425405618E-2"/>
  </r>
  <r>
    <s v="P261"/>
    <s v="Instagram"/>
    <d v="2024-10-27T00:00:00"/>
    <x v="4"/>
    <s v="Check out our latest image on instagram!"/>
    <n v="4853"/>
    <n v="837"/>
    <n v="340"/>
    <n v="72795"/>
    <n v="72237"/>
    <n v="170"/>
    <x v="4"/>
    <s v="CybertruckLaunch"/>
    <n v="8.2835359571399134E-2"/>
  </r>
  <r>
    <s v="P262"/>
    <s v="YouTube"/>
    <d v="2025-01-18T00:00:00"/>
    <x v="4"/>
    <s v="Check out our latest image on youtube!"/>
    <n v="1206"/>
    <n v="238"/>
    <n v="36"/>
    <n v="9648"/>
    <n v="9417"/>
    <n v="237"/>
    <x v="2"/>
    <m/>
    <n v="0.15339966832504145"/>
  </r>
  <r>
    <s v="P263"/>
    <s v="Instagram"/>
    <d v="2024-08-20T00:00:00"/>
    <x v="0"/>
    <s v="Check out our latest reel on instagram!"/>
    <n v="2603"/>
    <n v="690"/>
    <n v="205"/>
    <n v="13015"/>
    <n v="12130"/>
    <n v="20"/>
    <x v="0"/>
    <s v="ModelYCampaign"/>
    <n v="0.26876680752977333"/>
  </r>
  <r>
    <s v="P264"/>
    <s v="Twitter"/>
    <d v="2025-01-30T00:00:00"/>
    <x v="4"/>
    <s v="Check out our latest image on twitter!"/>
    <n v="59"/>
    <n v="163"/>
    <n v="93"/>
    <n v="590"/>
    <n v="475"/>
    <n v="293"/>
    <x v="2"/>
    <s v="ModelYCampaign"/>
    <n v="0.53389830508474578"/>
  </r>
  <r>
    <s v="P265"/>
    <s v="Twitter"/>
    <d v="2025-02-20T00:00:00"/>
    <x v="3"/>
    <s v="Check out our latest carousel on twitter!"/>
    <n v="1877"/>
    <n v="745"/>
    <n v="225"/>
    <n v="11262"/>
    <n v="10967"/>
    <n v="41"/>
    <x v="4"/>
    <s v="SustainabilityDrive"/>
    <n v="0.25279701651571657"/>
  </r>
  <r>
    <s v="P266"/>
    <s v="Facebook"/>
    <d v="2024-11-25T00:00:00"/>
    <x v="2"/>
    <s v="Check out our latest story on facebook!"/>
    <n v="4182"/>
    <n v="640"/>
    <n v="240"/>
    <n v="50184"/>
    <n v="49351"/>
    <n v="10"/>
    <x v="2"/>
    <s v="FSDUpdate"/>
    <n v="0.10086880280567512"/>
  </r>
  <r>
    <s v="P267"/>
    <s v="Twitter"/>
    <d v="2024-10-04T00:00:00"/>
    <x v="0"/>
    <s v="Check out our latest reel on twitter!"/>
    <n v="4187"/>
    <n v="66"/>
    <n v="31"/>
    <n v="66992"/>
    <n v="66614"/>
    <n v="62"/>
    <x v="0"/>
    <m/>
    <n v="6.3947934081681396E-2"/>
  </r>
  <r>
    <s v="P268"/>
    <s v="Instagram"/>
    <d v="2025-04-13T00:00:00"/>
    <x v="0"/>
    <s v="Check out our latest reel on instagram!"/>
    <n v="4579"/>
    <n v="125"/>
    <n v="300"/>
    <n v="59527"/>
    <n v="59400"/>
    <n v="269"/>
    <x v="4"/>
    <s v="CybertruckLaunch"/>
    <n v="8.4062694239588759E-2"/>
  </r>
  <r>
    <s v="P269"/>
    <s v="Instagram"/>
    <d v="2024-11-05T00:00:00"/>
    <x v="5"/>
    <s v="Check out our latest video on instagram!"/>
    <n v="4561"/>
    <n v="51"/>
    <n v="441"/>
    <n v="22805"/>
    <n v="21890"/>
    <n v="45"/>
    <x v="2"/>
    <s v="ModelYCampaign"/>
    <n v="0.22157421618066214"/>
  </r>
  <r>
    <s v="P270"/>
    <s v="YouTube"/>
    <d v="2025-01-15T00:00:00"/>
    <x v="0"/>
    <s v="Check out our latest reel on youtube!"/>
    <n v="3774"/>
    <n v="239"/>
    <n v="39"/>
    <n v="60384"/>
    <n v="59490"/>
    <n v="241"/>
    <x v="2"/>
    <s v="FSDUpdate"/>
    <m/>
  </r>
  <r>
    <s v="P271"/>
    <s v="Instagram"/>
    <d v="2024-10-17T00:00:00"/>
    <x v="5"/>
    <s v="Check out our latest video on instagram!"/>
    <n v="3575"/>
    <n v="749"/>
    <n v="111"/>
    <n v="21450"/>
    <n v="20785"/>
    <n v="195"/>
    <x v="4"/>
    <s v="ModelYCampaign"/>
    <m/>
  </r>
  <r>
    <s v="P272"/>
    <s v="Instagram"/>
    <d v="2025-03-27T00:00:00"/>
    <x v="1"/>
    <s v="Check out our latest text on instagram!"/>
    <n v="4941"/>
    <n v="414"/>
    <n v="266"/>
    <n v="39528"/>
    <n v="39154"/>
    <n v="217"/>
    <x v="2"/>
    <s v="FSDUpdate"/>
    <m/>
  </r>
  <r>
    <s v="P273"/>
    <s v="YouTube"/>
    <d v="2024-10-12T00:00:00"/>
    <x v="2"/>
    <s v="Check out our latest story on youtube!"/>
    <n v="3641"/>
    <n v="226"/>
    <n v="46"/>
    <n v="40051"/>
    <n v="39319"/>
    <n v="296"/>
    <x v="4"/>
    <s v="SustainabilityDrive"/>
    <m/>
  </r>
  <r>
    <s v="P274"/>
    <s v="Twitter"/>
    <d v="2025-01-01T00:00:00"/>
    <x v="3"/>
    <s v="Check out our latest carousel on twitter!"/>
    <n v="3535"/>
    <n v="494"/>
    <n v="152"/>
    <n v="53025"/>
    <n v="52791"/>
    <n v="44"/>
    <x v="2"/>
    <s v="SustainabilityDrive"/>
    <m/>
  </r>
  <r>
    <s v="P275"/>
    <s v="Facebook"/>
    <d v="2024-08-05T00:00:00"/>
    <x v="0"/>
    <s v="Check out our latest reel on facebook!"/>
    <n v="1741"/>
    <n v="831"/>
    <n v="345"/>
    <n v="17410"/>
    <n v="16844"/>
    <n v="58"/>
    <x v="4"/>
    <s v="FSDUpdate"/>
    <m/>
  </r>
  <r>
    <s v="P276"/>
    <s v="Twitter"/>
    <d v="2024-06-07T00:00:00"/>
    <x v="3"/>
    <s v="Check out our latest carousel on twitter!"/>
    <n v="1556"/>
    <n v="195"/>
    <n v="131"/>
    <n v="9336"/>
    <n v="8875"/>
    <n v="137"/>
    <x v="2"/>
    <s v="ModelYCampaign"/>
    <m/>
  </r>
  <r>
    <s v="P277"/>
    <s v="Facebook"/>
    <d v="2025-04-06T00:00:00"/>
    <x v="4"/>
    <s v="Check out our latest image on facebook!"/>
    <n v="4236"/>
    <n v="711"/>
    <n v="298"/>
    <n v="21180"/>
    <n v="20516"/>
    <n v="238"/>
    <x v="0"/>
    <s v="CybertruckLaunch"/>
    <m/>
  </r>
  <r>
    <s v="P278"/>
    <s v="Twitter"/>
    <d v="2024-11-26T00:00:00"/>
    <x v="1"/>
    <s v="Check out our latest text on twitter!"/>
    <n v="4516"/>
    <n v="836"/>
    <n v="169"/>
    <n v="49676"/>
    <n v="49257"/>
    <n v="282"/>
    <x v="4"/>
    <s v="SustainabilityDrive"/>
    <m/>
  </r>
  <r>
    <s v="P279"/>
    <s v="YouTube"/>
    <d v="2024-09-02T00:00:00"/>
    <x v="4"/>
    <s v="Check out our latest image on youtube!"/>
    <n v="4905"/>
    <n v="845"/>
    <n v="129"/>
    <n v="98100"/>
    <n v="97772"/>
    <n v="279"/>
    <x v="2"/>
    <s v="ModelYCampaign"/>
    <m/>
  </r>
  <r>
    <s v="P280"/>
    <s v="YouTube"/>
    <d v="2024-10-21T00:00:00"/>
    <x v="5"/>
    <s v="Check out our latest video on youtube!"/>
    <n v="4275"/>
    <n v="680"/>
    <n v="385"/>
    <n v="64125"/>
    <n v="63650"/>
    <n v="104"/>
    <x v="4"/>
    <s v="SustainabilityDrive"/>
    <m/>
  </r>
  <r>
    <s v="P280"/>
    <s v="YouTube"/>
    <d v="2024-10-21T00:00:00"/>
    <x v="5"/>
    <s v="Check out our latest video on youtube!"/>
    <n v="4275"/>
    <n v="680"/>
    <n v="385"/>
    <n v="64125"/>
    <n v="63650"/>
    <n v="104"/>
    <x v="2"/>
    <s v="SustainabilityDrive"/>
    <m/>
  </r>
  <r>
    <s v="P280"/>
    <s v="YouTube"/>
    <d v="2024-10-21T00:00:00"/>
    <x v="5"/>
    <s v="Check out our latest video on youtube!"/>
    <n v="4275"/>
    <n v="680"/>
    <n v="385"/>
    <n v="64125"/>
    <n v="63650"/>
    <n v="104"/>
    <x v="1"/>
    <s v="SustainabilityDrive"/>
    <m/>
  </r>
  <r>
    <s v="P281"/>
    <s v="YouTube"/>
    <d v="2025-03-22T00:00:00"/>
    <x v="4"/>
    <s v="Check out our latest image on youtube!"/>
    <n v="3166"/>
    <n v="90"/>
    <n v="341"/>
    <n v="56988"/>
    <n v="56125"/>
    <n v="135"/>
    <x v="4"/>
    <s v="ModelYCampaign"/>
    <m/>
  </r>
  <r>
    <s v="P282"/>
    <s v="Instagram"/>
    <d v="2024-10-03T00:00:00"/>
    <x v="5"/>
    <s v="Check out our latest video on instagram!"/>
    <n v="1488"/>
    <n v="417"/>
    <n v="168"/>
    <n v="19344"/>
    <n v="18395"/>
    <n v="30"/>
    <x v="0"/>
    <s v="FSDUpdate"/>
    <m/>
  </r>
  <r>
    <s v="P283"/>
    <s v="Twitter"/>
    <d v="2025-05-09T00:00:00"/>
    <x v="0"/>
    <s v="Check out our latest reel on twitter!"/>
    <n v="3367"/>
    <n v="302"/>
    <n v="57"/>
    <n v="63973"/>
    <n v="63789"/>
    <n v="157"/>
    <x v="0"/>
    <s v="ModelYCampaign"/>
    <m/>
  </r>
  <r>
    <s v="P284"/>
    <s v="Twitter"/>
    <d v="2024-09-17T00:00:00"/>
    <x v="1"/>
    <s v="Check out our latest text on twitter!"/>
    <n v="571"/>
    <n v="190"/>
    <n v="352"/>
    <n v="9707"/>
    <n v="9418"/>
    <n v="231"/>
    <x v="2"/>
    <s v="SustainabilityDrive"/>
    <m/>
  </r>
  <r>
    <s v="P285"/>
    <s v="YouTube"/>
    <d v="2024-07-18T00:00:00"/>
    <x v="1"/>
    <s v="Check out our latest text on youtube!"/>
    <n v="4021"/>
    <n v="794"/>
    <n v="77"/>
    <n v="36189"/>
    <n v="35505"/>
    <n v="174"/>
    <x v="4"/>
    <m/>
    <m/>
  </r>
  <r>
    <s v="P286"/>
    <s v="YouTube"/>
    <d v="2024-09-25T00:00:00"/>
    <x v="5"/>
    <s v="Check out our latest video on youtube!"/>
    <n v="3389"/>
    <n v="344"/>
    <n v="229"/>
    <n v="20334"/>
    <n v="19443"/>
    <n v="228"/>
    <x v="0"/>
    <s v="FSDUpdate"/>
    <m/>
  </r>
  <r>
    <s v="P287"/>
    <s v="Instagram"/>
    <d v="2024-08-15T00:00:00"/>
    <x v="0"/>
    <s v="Check out our latest reel on instagram!"/>
    <n v="1164"/>
    <n v="616"/>
    <n v="324"/>
    <n v="6984"/>
    <n v="6636"/>
    <n v="82"/>
    <x v="4"/>
    <s v="CybertruckLaunch"/>
    <m/>
  </r>
  <r>
    <s v="P288"/>
    <s v="YouTube"/>
    <d v="2025-04-17T00:00:00"/>
    <x v="3"/>
    <s v="Check out our latest carousel on youtube!"/>
    <n v="4780"/>
    <n v="691"/>
    <n v="380"/>
    <n v="86040"/>
    <n v="85743"/>
    <n v="262"/>
    <x v="0"/>
    <s v="FSDUpdate"/>
    <m/>
  </r>
  <r>
    <s v="P289"/>
    <s v="Facebook"/>
    <d v="2024-11-28T00:00:00"/>
    <x v="3"/>
    <s v="Check out our latest carousel on facebook!"/>
    <n v="2751"/>
    <n v="33"/>
    <n v="430"/>
    <n v="44016"/>
    <n v="43415"/>
    <n v="129"/>
    <x v="0"/>
    <m/>
    <m/>
  </r>
  <r>
    <s v="P290"/>
    <s v="Instagram"/>
    <d v="2024-12-20T00:00:00"/>
    <x v="3"/>
    <s v="Check out our latest carousel on instagram!"/>
    <n v="2107"/>
    <n v="550"/>
    <n v="349"/>
    <n v="35819"/>
    <n v="35340"/>
    <n v="191"/>
    <x v="4"/>
    <s v="SustainabilityDrive"/>
    <m/>
  </r>
  <r>
    <s v="P291"/>
    <s v="Facebook"/>
    <d v="2024-11-06T00:00:00"/>
    <x v="5"/>
    <s v="Check out our latest video on facebook!"/>
    <n v="4663"/>
    <n v="145"/>
    <n v="225"/>
    <n v="69945"/>
    <n v="69596"/>
    <n v="35"/>
    <x v="4"/>
    <s v="SustainabilityDrive"/>
    <m/>
  </r>
  <r>
    <s v="P292"/>
    <s v="Facebook"/>
    <d v="2024-11-17T00:00:00"/>
    <x v="1"/>
    <s v="Check out our latest text on facebook!"/>
    <n v="880"/>
    <n v="297"/>
    <n v="345"/>
    <n v="12320"/>
    <n v="11978"/>
    <n v="238"/>
    <x v="2"/>
    <m/>
    <m/>
  </r>
  <r>
    <s v="P292"/>
    <s v="Facebook"/>
    <d v="2024-11-17T00:00:00"/>
    <x v="1"/>
    <s v="Check out our latest text on facebook!"/>
    <n v="880"/>
    <n v="297"/>
    <n v="345"/>
    <n v="12320"/>
    <n v="11978"/>
    <n v="238"/>
    <x v="1"/>
    <m/>
    <m/>
  </r>
  <r>
    <s v="P293"/>
    <s v="Facebook"/>
    <d v="2025-05-14T00:00:00"/>
    <x v="1"/>
    <s v="Check out our latest text on facebook!"/>
    <n v="2634"/>
    <n v="726"/>
    <n v="241"/>
    <n v="28974"/>
    <n v="28102"/>
    <n v="277"/>
    <x v="4"/>
    <s v="CybertruckLaunch"/>
    <m/>
  </r>
  <r>
    <s v="P294"/>
    <s v="Facebook"/>
    <d v="2024-06-19T00:00:00"/>
    <x v="3"/>
    <s v="Check out our latest carousel on facebook!"/>
    <n v="4731"/>
    <n v="173"/>
    <n v="276"/>
    <n v="28386"/>
    <n v="28185"/>
    <n v="89"/>
    <x v="4"/>
    <s v="FSDUpdate"/>
    <m/>
  </r>
  <r>
    <s v="P295"/>
    <s v="Twitter"/>
    <d v="2025-05-06T00:00:00"/>
    <x v="4"/>
    <s v="Check out our latest image on twitter!"/>
    <n v="1952"/>
    <n v="344"/>
    <n v="287"/>
    <n v="15616"/>
    <n v="15403"/>
    <n v="235"/>
    <x v="0"/>
    <s v="ModelYCampaign"/>
    <m/>
  </r>
  <r>
    <s v="P295"/>
    <s v="Twitter"/>
    <d v="2025-05-06T00:00:00"/>
    <x v="4"/>
    <s v="Check out our latest image on twitter!"/>
    <n v="1952"/>
    <n v="344"/>
    <n v="287"/>
    <n v="15616"/>
    <n v="15403"/>
    <n v="235"/>
    <x v="2"/>
    <s v="ModelYCampaign"/>
    <m/>
  </r>
  <r>
    <s v="P295"/>
    <s v="Twitter"/>
    <d v="2025-05-06T00:00:00"/>
    <x v="4"/>
    <s v="Check out our latest image on twitter!"/>
    <n v="1952"/>
    <n v="344"/>
    <n v="287"/>
    <n v="15616"/>
    <n v="15403"/>
    <n v="235"/>
    <x v="1"/>
    <s v="ModelYCampaign"/>
    <m/>
  </r>
  <r>
    <s v="P296"/>
    <s v="Twitter"/>
    <d v="2025-02-11T00:00:00"/>
    <x v="5"/>
    <s v="Check out our latest video on twitter!"/>
    <n v="3440"/>
    <n v="13"/>
    <n v="20"/>
    <n v="58480"/>
    <n v="58146"/>
    <n v="210"/>
    <x v="2"/>
    <s v="SustainabilityDrive"/>
    <m/>
  </r>
  <r>
    <s v="P296"/>
    <s v="Twitter"/>
    <d v="2025-02-11T00:00:00"/>
    <x v="5"/>
    <s v="Check out our latest video on twitter!"/>
    <n v="3440"/>
    <n v="13"/>
    <n v="20"/>
    <n v="58480"/>
    <n v="58146"/>
    <n v="210"/>
    <x v="5"/>
    <s v="SustainabilityDrive"/>
    <m/>
  </r>
  <r>
    <s v="P297"/>
    <s v="Twitter"/>
    <d v="2024-12-24T00:00:00"/>
    <x v="1"/>
    <s v="Check out our latest text on twitter!"/>
    <n v="2166"/>
    <n v="354"/>
    <n v="117"/>
    <n v="10830"/>
    <n v="10245"/>
    <n v="24"/>
    <x v="4"/>
    <s v="SustainabilityDrive"/>
    <m/>
  </r>
  <r>
    <s v="P298"/>
    <s v="Facebook"/>
    <d v="2024-10-24T00:00:00"/>
    <x v="4"/>
    <s v="Check out our latest image on facebook!"/>
    <n v="4303"/>
    <n v="451"/>
    <n v="286"/>
    <n v="86060"/>
    <n v="85823"/>
    <n v="14"/>
    <x v="2"/>
    <s v="FSDUpdate"/>
    <m/>
  </r>
  <r>
    <s v="P299"/>
    <s v="Facebook"/>
    <d v="2024-08-26T00:00:00"/>
    <x v="4"/>
    <s v="Check out our latest image on facebook!"/>
    <n v="2581"/>
    <n v="517"/>
    <n v="117"/>
    <n v="23229"/>
    <n v="22331"/>
    <n v="70"/>
    <x v="0"/>
    <s v="FSDUpdate"/>
    <m/>
  </r>
  <r>
    <s v="P300"/>
    <s v="Twitter"/>
    <d v="2024-08-31T00:00:00"/>
    <x v="3"/>
    <s v="Check out our latest carousel on twitter!"/>
    <n v="4494"/>
    <n v="717"/>
    <n v="45"/>
    <n v="62916"/>
    <n v="62688"/>
    <n v="191"/>
    <x v="2"/>
    <s v="CybertruckLaunch"/>
    <m/>
  </r>
  <r>
    <s v="P300"/>
    <s v="Twitter"/>
    <d v="2024-08-31T00:00:00"/>
    <x v="3"/>
    <s v="Check out our latest carousel on twitter!"/>
    <n v="4494"/>
    <n v="717"/>
    <n v="45"/>
    <n v="62916"/>
    <n v="62688"/>
    <n v="191"/>
    <x v="4"/>
    <s v="CybertruckLaunch"/>
    <m/>
  </r>
  <r>
    <s v="P300"/>
    <s v="Twitter"/>
    <d v="2024-08-31T00:00:00"/>
    <x v="3"/>
    <s v="Check out our latest carousel on twitter!"/>
    <n v="4494"/>
    <n v="717"/>
    <n v="45"/>
    <n v="62916"/>
    <n v="62688"/>
    <n v="191"/>
    <x v="3"/>
    <s v="CybertruckLaunch"/>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7D68D8F-B150-4FBD-B102-D99913D8CC16}" name="PivotTable24" cacheId="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J3:K208" firstHeaderRow="1" firstDataRow="1" firstDataCol="1"/>
  <pivotFields count="8">
    <pivotField axis="axisRow" showAll="0">
      <items count="51">
        <item x="4"/>
        <item x="13"/>
        <item x="26"/>
        <item x="35"/>
        <item x="39"/>
        <item x="0"/>
        <item x="22"/>
        <item x="48"/>
        <item x="9"/>
        <item x="31"/>
        <item x="44"/>
        <item x="18"/>
        <item x="5"/>
        <item x="14"/>
        <item x="27"/>
        <item x="36"/>
        <item x="40"/>
        <item x="1"/>
        <item x="23"/>
        <item x="49"/>
        <item x="10"/>
        <item x="32"/>
        <item x="45"/>
        <item x="19"/>
        <item x="6"/>
        <item x="15"/>
        <item x="28"/>
        <item x="37"/>
        <item x="41"/>
        <item x="2"/>
        <item x="24"/>
        <item x="11"/>
        <item x="33"/>
        <item x="46"/>
        <item x="20"/>
        <item x="7"/>
        <item x="16"/>
        <item x="29"/>
        <item x="38"/>
        <item x="42"/>
        <item x="3"/>
        <item x="25"/>
        <item x="12"/>
        <item x="34"/>
        <item x="47"/>
        <item x="21"/>
        <item x="8"/>
        <item x="17"/>
        <item x="30"/>
        <item x="43"/>
        <item t="default"/>
      </items>
    </pivotField>
    <pivotField axis="axisRow" showAll="0">
      <items count="5">
        <item x="0"/>
        <item x="1"/>
        <item x="2"/>
        <item x="3"/>
        <item t="default"/>
      </items>
    </pivotField>
    <pivotField showAll="0"/>
    <pivotField showAll="0"/>
    <pivotField showAll="0"/>
    <pivotField showAll="0"/>
    <pivotField showAll="0"/>
    <pivotField dataField="1" showAll="0"/>
  </pivotFields>
  <rowFields count="2">
    <field x="1"/>
    <field x="0"/>
  </rowFields>
  <rowItems count="205">
    <i>
      <x/>
    </i>
    <i r="1">
      <x/>
    </i>
    <i r="1">
      <x v="1"/>
    </i>
    <i r="1">
      <x v="2"/>
    </i>
    <i r="1">
      <x v="3"/>
    </i>
    <i r="1">
      <x v="4"/>
    </i>
    <i r="1">
      <x v="5"/>
    </i>
    <i r="1">
      <x v="6"/>
    </i>
    <i r="1">
      <x v="7"/>
    </i>
    <i r="1">
      <x v="8"/>
    </i>
    <i r="1">
      <x v="9"/>
    </i>
    <i r="1">
      <x v="10"/>
    </i>
    <i r="1">
      <x v="11"/>
    </i>
    <i r="1">
      <x v="12"/>
    </i>
    <i r="1">
      <x v="13"/>
    </i>
    <i r="1">
      <x v="14"/>
    </i>
    <i r="1">
      <x v="15"/>
    </i>
    <i r="1">
      <x v="16"/>
    </i>
    <i r="1">
      <x v="17"/>
    </i>
    <i r="1">
      <x v="18"/>
    </i>
    <i r="1">
      <x v="19"/>
    </i>
    <i r="1">
      <x v="20"/>
    </i>
    <i r="1">
      <x v="21"/>
    </i>
    <i r="1">
      <x v="22"/>
    </i>
    <i r="1">
      <x v="23"/>
    </i>
    <i r="1">
      <x v="24"/>
    </i>
    <i r="1">
      <x v="25"/>
    </i>
    <i r="1">
      <x v="26"/>
    </i>
    <i r="1">
      <x v="27"/>
    </i>
    <i r="1">
      <x v="28"/>
    </i>
    <i r="1">
      <x v="29"/>
    </i>
    <i r="1">
      <x v="30"/>
    </i>
    <i r="1">
      <x v="31"/>
    </i>
    <i r="1">
      <x v="32"/>
    </i>
    <i r="1">
      <x v="33"/>
    </i>
    <i r="1">
      <x v="34"/>
    </i>
    <i r="1">
      <x v="35"/>
    </i>
    <i r="1">
      <x v="36"/>
    </i>
    <i r="1">
      <x v="37"/>
    </i>
    <i r="1">
      <x v="38"/>
    </i>
    <i r="1">
      <x v="39"/>
    </i>
    <i r="1">
      <x v="40"/>
    </i>
    <i r="1">
      <x v="41"/>
    </i>
    <i r="1">
      <x v="42"/>
    </i>
    <i r="1">
      <x v="43"/>
    </i>
    <i r="1">
      <x v="44"/>
    </i>
    <i r="1">
      <x v="45"/>
    </i>
    <i r="1">
      <x v="46"/>
    </i>
    <i r="1">
      <x v="47"/>
    </i>
    <i r="1">
      <x v="48"/>
    </i>
    <i r="1">
      <x v="49"/>
    </i>
    <i>
      <x v="1"/>
    </i>
    <i r="1">
      <x/>
    </i>
    <i r="1">
      <x v="1"/>
    </i>
    <i r="1">
      <x v="2"/>
    </i>
    <i r="1">
      <x v="3"/>
    </i>
    <i r="1">
      <x v="4"/>
    </i>
    <i r="1">
      <x v="5"/>
    </i>
    <i r="1">
      <x v="6"/>
    </i>
    <i r="1">
      <x v="7"/>
    </i>
    <i r="1">
      <x v="8"/>
    </i>
    <i r="1">
      <x v="9"/>
    </i>
    <i r="1">
      <x v="10"/>
    </i>
    <i r="1">
      <x v="11"/>
    </i>
    <i r="1">
      <x v="12"/>
    </i>
    <i r="1">
      <x v="13"/>
    </i>
    <i r="1">
      <x v="14"/>
    </i>
    <i r="1">
      <x v="15"/>
    </i>
    <i r="1">
      <x v="16"/>
    </i>
    <i r="1">
      <x v="17"/>
    </i>
    <i r="1">
      <x v="18"/>
    </i>
    <i r="1">
      <x v="19"/>
    </i>
    <i r="1">
      <x v="20"/>
    </i>
    <i r="1">
      <x v="21"/>
    </i>
    <i r="1">
      <x v="22"/>
    </i>
    <i r="1">
      <x v="23"/>
    </i>
    <i r="1">
      <x v="24"/>
    </i>
    <i r="1">
      <x v="25"/>
    </i>
    <i r="1">
      <x v="26"/>
    </i>
    <i r="1">
      <x v="27"/>
    </i>
    <i r="1">
      <x v="28"/>
    </i>
    <i r="1">
      <x v="29"/>
    </i>
    <i r="1">
      <x v="30"/>
    </i>
    <i r="1">
      <x v="31"/>
    </i>
    <i r="1">
      <x v="32"/>
    </i>
    <i r="1">
      <x v="33"/>
    </i>
    <i r="1">
      <x v="34"/>
    </i>
    <i r="1">
      <x v="35"/>
    </i>
    <i r="1">
      <x v="36"/>
    </i>
    <i r="1">
      <x v="37"/>
    </i>
    <i r="1">
      <x v="38"/>
    </i>
    <i r="1">
      <x v="39"/>
    </i>
    <i r="1">
      <x v="40"/>
    </i>
    <i r="1">
      <x v="41"/>
    </i>
    <i r="1">
      <x v="42"/>
    </i>
    <i r="1">
      <x v="43"/>
    </i>
    <i r="1">
      <x v="44"/>
    </i>
    <i r="1">
      <x v="45"/>
    </i>
    <i r="1">
      <x v="46"/>
    </i>
    <i r="1">
      <x v="47"/>
    </i>
    <i r="1">
      <x v="48"/>
    </i>
    <i r="1">
      <x v="49"/>
    </i>
    <i>
      <x v="2"/>
    </i>
    <i r="1">
      <x/>
    </i>
    <i r="1">
      <x v="1"/>
    </i>
    <i r="1">
      <x v="2"/>
    </i>
    <i r="1">
      <x v="3"/>
    </i>
    <i r="1">
      <x v="4"/>
    </i>
    <i r="1">
      <x v="5"/>
    </i>
    <i r="1">
      <x v="6"/>
    </i>
    <i r="1">
      <x v="7"/>
    </i>
    <i r="1">
      <x v="8"/>
    </i>
    <i r="1">
      <x v="9"/>
    </i>
    <i r="1">
      <x v="10"/>
    </i>
    <i r="1">
      <x v="11"/>
    </i>
    <i r="1">
      <x v="12"/>
    </i>
    <i r="1">
      <x v="13"/>
    </i>
    <i r="1">
      <x v="14"/>
    </i>
    <i r="1">
      <x v="15"/>
    </i>
    <i r="1">
      <x v="16"/>
    </i>
    <i r="1">
      <x v="17"/>
    </i>
    <i r="1">
      <x v="18"/>
    </i>
    <i r="1">
      <x v="19"/>
    </i>
    <i r="1">
      <x v="20"/>
    </i>
    <i r="1">
      <x v="21"/>
    </i>
    <i r="1">
      <x v="22"/>
    </i>
    <i r="1">
      <x v="23"/>
    </i>
    <i r="1">
      <x v="24"/>
    </i>
    <i r="1">
      <x v="25"/>
    </i>
    <i r="1">
      <x v="26"/>
    </i>
    <i r="1">
      <x v="27"/>
    </i>
    <i r="1">
      <x v="28"/>
    </i>
    <i r="1">
      <x v="29"/>
    </i>
    <i r="1">
      <x v="30"/>
    </i>
    <i r="1">
      <x v="31"/>
    </i>
    <i r="1">
      <x v="32"/>
    </i>
    <i r="1">
      <x v="33"/>
    </i>
    <i r="1">
      <x v="34"/>
    </i>
    <i r="1">
      <x v="35"/>
    </i>
    <i r="1">
      <x v="36"/>
    </i>
    <i r="1">
      <x v="37"/>
    </i>
    <i r="1">
      <x v="38"/>
    </i>
    <i r="1">
      <x v="39"/>
    </i>
    <i r="1">
      <x v="40"/>
    </i>
    <i r="1">
      <x v="41"/>
    </i>
    <i r="1">
      <x v="42"/>
    </i>
    <i r="1">
      <x v="43"/>
    </i>
    <i r="1">
      <x v="44"/>
    </i>
    <i r="1">
      <x v="45"/>
    </i>
    <i r="1">
      <x v="46"/>
    </i>
    <i r="1">
      <x v="47"/>
    </i>
    <i r="1">
      <x v="48"/>
    </i>
    <i r="1">
      <x v="49"/>
    </i>
    <i>
      <x v="3"/>
    </i>
    <i r="1">
      <x/>
    </i>
    <i r="1">
      <x v="1"/>
    </i>
    <i r="1">
      <x v="2"/>
    </i>
    <i r="1">
      <x v="3"/>
    </i>
    <i r="1">
      <x v="4"/>
    </i>
    <i r="1">
      <x v="5"/>
    </i>
    <i r="1">
      <x v="6"/>
    </i>
    <i r="1">
      <x v="7"/>
    </i>
    <i r="1">
      <x v="8"/>
    </i>
    <i r="1">
      <x v="9"/>
    </i>
    <i r="1">
      <x v="10"/>
    </i>
    <i r="1">
      <x v="11"/>
    </i>
    <i r="1">
      <x v="12"/>
    </i>
    <i r="1">
      <x v="13"/>
    </i>
    <i r="1">
      <x v="14"/>
    </i>
    <i r="1">
      <x v="15"/>
    </i>
    <i r="1">
      <x v="16"/>
    </i>
    <i r="1">
      <x v="17"/>
    </i>
    <i r="1">
      <x v="18"/>
    </i>
    <i r="1">
      <x v="19"/>
    </i>
    <i r="1">
      <x v="20"/>
    </i>
    <i r="1">
      <x v="21"/>
    </i>
    <i r="1">
      <x v="22"/>
    </i>
    <i r="1">
      <x v="23"/>
    </i>
    <i r="1">
      <x v="24"/>
    </i>
    <i r="1">
      <x v="25"/>
    </i>
    <i r="1">
      <x v="26"/>
    </i>
    <i r="1">
      <x v="27"/>
    </i>
    <i r="1">
      <x v="28"/>
    </i>
    <i r="1">
      <x v="29"/>
    </i>
    <i r="1">
      <x v="30"/>
    </i>
    <i r="1">
      <x v="31"/>
    </i>
    <i r="1">
      <x v="32"/>
    </i>
    <i r="1">
      <x v="33"/>
    </i>
    <i r="1">
      <x v="34"/>
    </i>
    <i r="1">
      <x v="35"/>
    </i>
    <i r="1">
      <x v="36"/>
    </i>
    <i r="1">
      <x v="37"/>
    </i>
    <i r="1">
      <x v="38"/>
    </i>
    <i r="1">
      <x v="39"/>
    </i>
    <i r="1">
      <x v="40"/>
    </i>
    <i r="1">
      <x v="41"/>
    </i>
    <i r="1">
      <x v="42"/>
    </i>
    <i r="1">
      <x v="43"/>
    </i>
    <i r="1">
      <x v="44"/>
    </i>
    <i r="1">
      <x v="45"/>
    </i>
    <i r="1">
      <x v="46"/>
    </i>
    <i r="1">
      <x v="47"/>
    </i>
    <i r="1">
      <x v="48"/>
    </i>
    <i r="1">
      <x v="49"/>
    </i>
    <i t="grand">
      <x/>
    </i>
  </rowItems>
  <colItems count="1">
    <i/>
  </colItems>
  <dataFields count="1">
    <dataField name="Average of Net Growth" fld="7" subtotal="average" baseField="1"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0F0C996-6697-4670-9F26-D1D65E7F5689}" name="PivotTable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V5:Y34" firstHeaderRow="0" firstDataRow="1" firstDataCol="1"/>
  <pivotFields count="16">
    <pivotField showAll="0"/>
    <pivotField axis="axisRow" showAll="0">
      <items count="5">
        <item x="3"/>
        <item x="0"/>
        <item x="1"/>
        <item x="2"/>
        <item t="default"/>
      </items>
    </pivotField>
    <pivotField showAll="0"/>
    <pivotField axis="axisRow" showAll="0">
      <items count="7">
        <item x="3"/>
        <item x="4"/>
        <item x="1"/>
        <item x="0"/>
        <item x="5"/>
        <item x="2"/>
        <item t="default"/>
      </items>
    </pivotField>
    <pivotField showAll="0"/>
    <pivotField dataField="1" showAll="0"/>
    <pivotField dataField="1" showAll="0"/>
    <pivotField dataField="1" showAll="0"/>
    <pivotField showAll="0"/>
    <pivotField showAll="0"/>
    <pivotField showAll="0"/>
    <pivotField showAll="0"/>
    <pivotField showAll="0"/>
    <pivotField showAll="0"/>
    <pivotField showAll="0"/>
    <pivotField showAll="0"/>
  </pivotFields>
  <rowFields count="2">
    <field x="1"/>
    <field x="3"/>
  </rowFields>
  <rowItems count="29">
    <i>
      <x/>
    </i>
    <i r="1">
      <x/>
    </i>
    <i r="1">
      <x v="1"/>
    </i>
    <i r="1">
      <x v="2"/>
    </i>
    <i r="1">
      <x v="3"/>
    </i>
    <i r="1">
      <x v="4"/>
    </i>
    <i r="1">
      <x v="5"/>
    </i>
    <i>
      <x v="1"/>
    </i>
    <i r="1">
      <x/>
    </i>
    <i r="1">
      <x v="1"/>
    </i>
    <i r="1">
      <x v="2"/>
    </i>
    <i r="1">
      <x v="3"/>
    </i>
    <i r="1">
      <x v="4"/>
    </i>
    <i r="1">
      <x v="5"/>
    </i>
    <i>
      <x v="2"/>
    </i>
    <i r="1">
      <x/>
    </i>
    <i r="1">
      <x v="1"/>
    </i>
    <i r="1">
      <x v="2"/>
    </i>
    <i r="1">
      <x v="3"/>
    </i>
    <i r="1">
      <x v="4"/>
    </i>
    <i r="1">
      <x v="5"/>
    </i>
    <i>
      <x v="3"/>
    </i>
    <i r="1">
      <x/>
    </i>
    <i r="1">
      <x v="1"/>
    </i>
    <i r="1">
      <x v="2"/>
    </i>
    <i r="1">
      <x v="3"/>
    </i>
    <i r="1">
      <x v="4"/>
    </i>
    <i r="1">
      <x v="5"/>
    </i>
    <i t="grand">
      <x/>
    </i>
  </rowItems>
  <colFields count="1">
    <field x="-2"/>
  </colFields>
  <colItems count="3">
    <i>
      <x/>
    </i>
    <i i="1">
      <x v="1"/>
    </i>
    <i i="2">
      <x v="2"/>
    </i>
  </colItems>
  <dataFields count="3">
    <dataField name="Sum of Likes" fld="5" baseField="0" baseItem="0"/>
    <dataField name="Sum of Shares" fld="6" baseField="0" baseItem="0"/>
    <dataField name="Sum of Comments"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0A91EA9-7F4A-49C4-8172-81ECC9B6C66A}" name="PivotTable4" cacheId="5"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rowHeaderCaption="Hashtags Used">
  <location ref="V39:W46" firstHeaderRow="1" firstDataRow="1" firstDataCol="1"/>
  <pivotFields count="2">
    <pivotField dataField="1" showAll="0"/>
    <pivotField axis="axisRow" showAll="0">
      <items count="7">
        <item x="1"/>
        <item x="3"/>
        <item x="4"/>
        <item x="0"/>
        <item x="5"/>
        <item x="2"/>
        <item t="default"/>
      </items>
    </pivotField>
  </pivotFields>
  <rowFields count="1">
    <field x="1"/>
  </rowFields>
  <rowItems count="7">
    <i>
      <x/>
    </i>
    <i>
      <x v="1"/>
    </i>
    <i>
      <x v="2"/>
    </i>
    <i>
      <x v="3"/>
    </i>
    <i>
      <x v="4"/>
    </i>
    <i>
      <x v="5"/>
    </i>
    <i t="grand">
      <x/>
    </i>
  </rowItems>
  <colItems count="1">
    <i/>
  </colItems>
  <dataFields count="1">
    <dataField name="Average of Clicks" fld="0" subtotal="average" baseField="1"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B4641EF-1553-490E-BCC3-6952DBA3DCC0}" name="PivotTable19" cacheId="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2">
  <location ref="X7:AA12" firstHeaderRow="0" firstDataRow="1" firstDataCol="1"/>
  <pivotFields count="8">
    <pivotField showAll="0"/>
    <pivotField axis="axisRow" showAll="0">
      <items count="5">
        <item x="0"/>
        <item x="1"/>
        <item x="2"/>
        <item x="3"/>
        <item t="default"/>
      </items>
    </pivotField>
    <pivotField showAll="0"/>
    <pivotField showAll="0"/>
    <pivotField showAll="0"/>
    <pivotField dataField="1" showAll="0"/>
    <pivotField dataField="1" showAll="0"/>
    <pivotField dataField="1" showAll="0"/>
  </pivotFields>
  <rowFields count="1">
    <field x="1"/>
  </rowFields>
  <rowItems count="5">
    <i>
      <x/>
    </i>
    <i>
      <x v="1"/>
    </i>
    <i>
      <x v="2"/>
    </i>
    <i>
      <x v="3"/>
    </i>
    <i t="grand">
      <x/>
    </i>
  </rowItems>
  <colFields count="1">
    <field x="-2"/>
  </colFields>
  <colItems count="3">
    <i>
      <x/>
    </i>
    <i i="1">
      <x v="1"/>
    </i>
    <i i="2">
      <x v="2"/>
    </i>
  </colItems>
  <dataFields count="3">
    <dataField name="Average of Growth Rate" fld="7" subtotal="average" baseField="1" baseItem="0"/>
    <dataField name="Average of Ad_Spend" fld="6" subtotal="average" baseField="1" baseItem="0"/>
    <dataField name="Average of Engagement_Rate" fld="5" subtotal="average" baseField="1"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BE0E964-10CD-45D2-9E8D-0A2B2224B486}" name="PivotTable5" cacheId="6"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P5:Q12" firstHeaderRow="1" firstDataRow="1" firstDataCol="1"/>
  <pivotFields count="1">
    <pivotField axis="axisRow" dataField="1" showAll="0">
      <items count="7">
        <item x="1"/>
        <item x="3"/>
        <item x="4"/>
        <item x="0"/>
        <item x="5"/>
        <item x="2"/>
        <item t="default"/>
      </items>
    </pivotField>
  </pivotFields>
  <rowFields count="1">
    <field x="0"/>
  </rowFields>
  <rowItems count="7">
    <i>
      <x/>
    </i>
    <i>
      <x v="1"/>
    </i>
    <i>
      <x v="2"/>
    </i>
    <i>
      <x v="3"/>
    </i>
    <i>
      <x v="4"/>
    </i>
    <i>
      <x v="5"/>
    </i>
    <i t="grand">
      <x/>
    </i>
  </rowItems>
  <colItems count="1">
    <i/>
  </colItems>
  <dataFields count="1">
    <dataField name="Count of Hashtags Use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784AC68-04A8-4FC1-818D-A88F7A041FD1}" name="PivotTable1" cacheId="8" applyNumberFormats="0" applyBorderFormats="0" applyFontFormats="0" applyPatternFormats="0" applyAlignmentFormats="0" applyWidthHeightFormats="1" dataCaption="Values" updatedVersion="6" minRefreshableVersion="3" useAutoFormatting="1" rowGrandTotals="0" colGrandTotals="0" itemPrintTitles="1" createdVersion="6" indent="0" outline="1" outlineData="1" multipleFieldFilters="0" chartFormat="1" rowHeaderCaption="Content Type">
  <location ref="P38:Q41" firstHeaderRow="1" firstDataRow="1" firstDataCol="1"/>
  <pivotFields count="14">
    <pivotField showAll="0"/>
    <pivotField showAll="0"/>
    <pivotField numFmtId="14" showAll="0"/>
    <pivotField axis="axisRow" showAll="0">
      <items count="7">
        <item x="3"/>
        <item x="4"/>
        <item h="1" x="0"/>
        <item h="1" x="2"/>
        <item h="1" x="1"/>
        <item x="5"/>
        <item t="default"/>
      </items>
    </pivotField>
    <pivotField showAll="0"/>
    <pivotField showAll="0"/>
    <pivotField showAll="0"/>
    <pivotField showAll="0"/>
    <pivotField showAll="0"/>
    <pivotField showAll="0"/>
    <pivotField showAll="0"/>
    <pivotField showAll="0">
      <items count="7">
        <item x="1"/>
        <item x="3"/>
        <item x="4"/>
        <item x="0"/>
        <item x="5"/>
        <item x="2"/>
        <item t="default"/>
      </items>
    </pivotField>
    <pivotField showAll="0"/>
    <pivotField dataField="1" showAll="0"/>
  </pivotFields>
  <rowFields count="1">
    <field x="3"/>
  </rowFields>
  <rowItems count="3">
    <i>
      <x/>
    </i>
    <i>
      <x v="1"/>
    </i>
    <i>
      <x v="5"/>
    </i>
  </rowItems>
  <colItems count="1">
    <i/>
  </colItems>
  <dataFields count="1">
    <dataField name="Average of Engagement Rate" fld="13" subtotal="average" baseField="0" baseItem="1" numFmtId="10"/>
  </dataFields>
  <formats count="1">
    <format dxfId="12">
      <pivotArea outline="0" collapsedLevelsAreSubtotals="1" fieldPosition="0"/>
    </format>
  </formats>
  <chartFormats count="1">
    <chartFormat chart="0"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BAE0BEF-75BC-41DB-8610-FE20464B3761}" name="PivotTable6" cacheId="7"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9" rowHeaderCaption="Hashtag Used">
  <location ref="S3:T10" firstHeaderRow="1" firstDataRow="1" firstDataCol="1"/>
  <pivotFields count="3">
    <pivotField axis="axisRow" showAll="0">
      <items count="7">
        <item x="1"/>
        <item x="3"/>
        <item x="4"/>
        <item x="0"/>
        <item x="5"/>
        <item x="2"/>
        <item t="default"/>
      </items>
    </pivotField>
    <pivotField showAll="0"/>
    <pivotField dataField="1" showAll="0"/>
  </pivotFields>
  <rowFields count="1">
    <field x="0"/>
  </rowFields>
  <rowItems count="7">
    <i>
      <x/>
    </i>
    <i>
      <x v="1"/>
    </i>
    <i>
      <x v="2"/>
    </i>
    <i>
      <x v="3"/>
    </i>
    <i>
      <x v="4"/>
    </i>
    <i>
      <x v="5"/>
    </i>
    <i t="grand">
      <x/>
    </i>
  </rowItems>
  <colItems count="1">
    <i/>
  </colItems>
  <dataFields count="1">
    <dataField name="Average of Engagement Rate" fld="2" subtotal="average" baseField="0" baseItem="0"/>
  </dataFields>
  <chartFormats count="1">
    <chartFormat chart="16"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1E94673-E8C1-4BAF-862F-2C0105FFBE90}" name="PivotTable21" cacheId="1" applyNumberFormats="0" applyBorderFormats="0" applyFontFormats="0" applyPatternFormats="0" applyAlignmentFormats="0" applyWidthHeightFormats="1" dataCaption="Values" updatedVersion="6" minRefreshableVersion="3" useAutoFormatting="1" rowGrandTotals="0" colGrandTotals="0" itemPrintTitles="1" createdVersion="6" indent="0" outline="1" outlineData="1" multipleFieldFilters="0" rowHeaderCaption="Campaign Name">
  <location ref="M4:S8" firstHeaderRow="0" firstDataRow="1" firstDataCol="1"/>
  <pivotFields count="10">
    <pivotField dataField="1" showAll="0"/>
    <pivotField showAll="0"/>
    <pivotField showAll="0"/>
    <pivotField dataField="1" showAll="0"/>
    <pivotField showAll="0"/>
    <pivotField dataField="1" showAll="0"/>
    <pivotField showAll="0"/>
    <pivotField showAll="0"/>
    <pivotField showAll="0"/>
    <pivotField axis="axisRow" multipleItemSelectionAllowed="1" showAll="0">
      <items count="6">
        <item x="2"/>
        <item x="3"/>
        <item x="0"/>
        <item x="4"/>
        <item h="1" x="1"/>
        <item t="default"/>
      </items>
    </pivotField>
  </pivotFields>
  <rowFields count="1">
    <field x="9"/>
  </rowFields>
  <rowItems count="4">
    <i>
      <x/>
    </i>
    <i>
      <x v="1"/>
    </i>
    <i>
      <x v="2"/>
    </i>
    <i>
      <x v="3"/>
    </i>
  </rowItems>
  <colFields count="1">
    <field x="-2"/>
  </colFields>
  <colItems count="6">
    <i>
      <x/>
    </i>
    <i i="1">
      <x v="1"/>
    </i>
    <i i="2">
      <x v="2"/>
    </i>
    <i i="3">
      <x v="3"/>
    </i>
    <i i="4">
      <x v="4"/>
    </i>
    <i i="5">
      <x v="5"/>
    </i>
  </colItems>
  <dataFields count="6">
    <dataField name="Total Likes" fld="0" baseField="0" baseItem="0"/>
    <dataField name="Average Likes" fld="0" subtotal="average" baseField="9" baseItem="0"/>
    <dataField name="Total Impressions" fld="3" baseField="0" baseItem="0"/>
    <dataField name="Average Impressions" fld="3" subtotal="average" baseField="9" baseItem="0"/>
    <dataField name="Total Clicks" fld="5" baseField="0" baseItem="0"/>
    <dataField name="Average Clicks" fld="5" subtotal="average" baseField="9" baseItem="0"/>
  </dataFields>
  <formats count="7">
    <format dxfId="11">
      <pivotArea type="all" dataOnly="0" outline="0" fieldPosition="0"/>
    </format>
    <format dxfId="10">
      <pivotArea outline="0" collapsedLevelsAreSubtotals="1" fieldPosition="0"/>
    </format>
    <format dxfId="9">
      <pivotArea field="9" type="button" dataOnly="0" labelOnly="1" outline="0" axis="axisRow" fieldPosition="0"/>
    </format>
    <format dxfId="8">
      <pivotArea dataOnly="0" labelOnly="1" fieldPosition="0">
        <references count="1">
          <reference field="9" count="0"/>
        </references>
      </pivotArea>
    </format>
    <format dxfId="7">
      <pivotArea dataOnly="0" labelOnly="1" outline="0" fieldPosition="0">
        <references count="1">
          <reference field="4294967294" count="6">
            <x v="0"/>
            <x v="1"/>
            <x v="2"/>
            <x v="3"/>
            <x v="4"/>
            <x v="5"/>
          </reference>
        </references>
      </pivotArea>
    </format>
    <format dxfId="6">
      <pivotArea field="9" type="button" dataOnly="0" labelOnly="1" outline="0" axis="axisRow" fieldPosition="0"/>
    </format>
    <format dxfId="5">
      <pivotArea dataOnly="0" labelOnly="1" fieldPosition="0">
        <references count="1">
          <reference field="9"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780E3139-5781-45CA-BAA8-91C4738A4F6B}" name="PivotTable16" cacheId="4"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
  <location ref="J4:O56" firstHeaderRow="1" firstDataRow="2" firstDataCol="1"/>
  <pivotFields count="8">
    <pivotField axis="axisRow" showAll="0">
      <items count="51">
        <item x="4"/>
        <item x="13"/>
        <item x="26"/>
        <item x="35"/>
        <item x="39"/>
        <item x="0"/>
        <item x="22"/>
        <item x="48"/>
        <item x="9"/>
        <item x="31"/>
        <item x="44"/>
        <item x="18"/>
        <item x="5"/>
        <item x="14"/>
        <item x="27"/>
        <item x="36"/>
        <item x="40"/>
        <item x="1"/>
        <item x="23"/>
        <item x="49"/>
        <item x="10"/>
        <item x="32"/>
        <item x="45"/>
        <item x="19"/>
        <item x="6"/>
        <item x="15"/>
        <item x="28"/>
        <item x="37"/>
        <item x="41"/>
        <item x="2"/>
        <item x="24"/>
        <item x="11"/>
        <item x="33"/>
        <item x="46"/>
        <item x="20"/>
        <item x="7"/>
        <item x="16"/>
        <item x="29"/>
        <item x="38"/>
        <item x="42"/>
        <item x="3"/>
        <item x="25"/>
        <item x="12"/>
        <item x="34"/>
        <item x="47"/>
        <item x="21"/>
        <item x="8"/>
        <item x="17"/>
        <item x="30"/>
        <item x="43"/>
        <item t="default"/>
      </items>
    </pivotField>
    <pivotField axis="axisCol" showAll="0">
      <items count="5">
        <item x="1"/>
        <item x="0"/>
        <item x="2"/>
        <item x="3"/>
        <item t="default"/>
      </items>
    </pivotField>
    <pivotField showAll="0"/>
    <pivotField showAll="0"/>
    <pivotField showAll="0"/>
    <pivotField showAll="0"/>
    <pivotField showAll="0"/>
    <pivotField dataField="1" showAll="0"/>
  </pivotFields>
  <rowFields count="1">
    <field x="0"/>
  </rowFields>
  <rowItems count="5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t="grand">
      <x/>
    </i>
  </rowItems>
  <colFields count="1">
    <field x="1"/>
  </colFields>
  <colItems count="5">
    <i>
      <x/>
    </i>
    <i>
      <x v="1"/>
    </i>
    <i>
      <x v="2"/>
    </i>
    <i>
      <x v="3"/>
    </i>
    <i t="grand">
      <x/>
    </i>
  </colItems>
  <dataFields count="1">
    <dataField name="Sum of Net growth" fld="7" baseField="0" baseItem="0"/>
  </dataFields>
  <chartFormats count="4">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 chart="0" format="2" series="1">
      <pivotArea type="data" outline="0" fieldPosition="0">
        <references count="2">
          <reference field="4294967294" count="1" selected="0">
            <x v="0"/>
          </reference>
          <reference field="1" count="1" selected="0">
            <x v="2"/>
          </reference>
        </references>
      </pivotArea>
    </chartFormat>
    <chartFormat chart="0" format="3" series="1">
      <pivotArea type="data" outline="0" fieldPosition="0">
        <references count="2">
          <reference field="4294967294" count="1" selected="0">
            <x v="0"/>
          </reference>
          <reference field="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3" connectionId="3" xr16:uid="{092D55FF-F7E5-4C9E-B797-048630406FF2}" autoFormatId="16" applyNumberFormats="0" applyBorderFormats="0" applyFontFormats="0" applyPatternFormats="0" applyAlignmentFormats="0" applyWidthHeightFormats="0">
  <queryTableRefresh nextId="17">
    <queryTableFields count="15">
      <queryTableField id="1" name="Post ID" tableColumnId="1"/>
      <queryTableField id="2" name="Platform" tableColumnId="2"/>
      <queryTableField id="3" name="Date" tableColumnId="3"/>
      <queryTableField id="4" name="Content Type" tableColumnId="4"/>
      <queryTableField id="5" name="Post Text" tableColumnId="5"/>
      <queryTableField id="6" name="Likes" tableColumnId="6"/>
      <queryTableField id="7" name="Shares" tableColumnId="7"/>
      <queryTableField id="8" name="Comments" tableColumnId="8"/>
      <queryTableField id="9" name="Impressions" tableColumnId="9"/>
      <queryTableField id="10" name="Reach" tableColumnId="10"/>
      <queryTableField id="11" name="Clicks" tableColumnId="11"/>
      <queryTableField id="12" name="Merged.1" tableColumnId="12"/>
      <queryTableField id="13" name="Merged.2" tableColumnId="13"/>
      <queryTableField id="14" name="Merged.3" tableColumnId="14"/>
      <queryTableField id="15" name="Campaign_Name" tableColumnId="15"/>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connectionId="2" xr16:uid="{B19A849F-9556-4A1F-BDAB-F6BE7E621CBE}" autoFormatId="16" applyNumberFormats="0" applyBorderFormats="0" applyFontFormats="0" applyPatternFormats="0" applyAlignmentFormats="0" applyWidthHeightFormats="0">
  <queryTableRefresh nextId="9" unboundColumnsRight="1">
    <queryTableFields count="8">
      <queryTableField id="1" name="Week_Start_Date" tableColumnId="1"/>
      <queryTableField id="2" name="Platform" tableColumnId="2"/>
      <queryTableField id="3" name="New_Followers" tableColumnId="3"/>
      <queryTableField id="4" name="Unfollows" tableColumnId="4"/>
      <queryTableField id="5" name="Total_Followers" tableColumnId="5"/>
      <queryTableField id="6" name="Engagement_Rate" tableColumnId="6"/>
      <queryTableField id="7" name="Ad_Spend" tableColumnId="7"/>
      <queryTableField id="8" dataBound="0" tableColumnId="8"/>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connectionId="1" xr16:uid="{EDAE07E4-0D65-4738-9572-13D8B128AFCC}" autoFormatId="16" applyNumberFormats="0" applyBorderFormats="0" applyFontFormats="0" applyPatternFormats="0" applyAlignmentFormats="0" applyWidthHeightFormats="0">
  <queryTableRefresh nextId="8">
    <queryTableFields count="7">
      <queryTableField id="1" name="Campaign_Name" tableColumnId="1"/>
      <queryTableField id="2" name="Start_Date" tableColumnId="2"/>
      <queryTableField id="3" name="End_Date" tableColumnId="3"/>
      <queryTableField id="4" name="Objective" tableColumnId="4"/>
      <queryTableField id="5" name="Total_Budget" tableColumnId="5"/>
      <queryTableField id="6" name="Target_Platforms" tableColumnId="6"/>
      <queryTableField id="7" name="Primary_Hashtags" tableColumnId="7"/>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E0A7D7A5-5055-42CC-8064-C3B4A1503634}" name="Posts__2" displayName="Posts__2" ref="A1:O301" tableType="queryTable" totalsRowShown="0">
  <tableColumns count="15">
    <tableColumn id="1" xr3:uid="{76E2EB9B-8743-49A7-B978-0DAE7DE29F49}" uniqueName="1" name="Post ID" queryTableFieldId="1"/>
    <tableColumn id="2" xr3:uid="{E762160B-CF0B-4D65-9CC9-7141700AE1BB}" uniqueName="2" name="Platform" queryTableFieldId="2"/>
    <tableColumn id="3" xr3:uid="{A860AD06-3B9B-43BC-825D-DAD3EC25C701}" uniqueName="3" name="Date" queryTableFieldId="3" dataDxfId="14"/>
    <tableColumn id="4" xr3:uid="{7992AA3C-5D81-4E61-A26C-270CFAD523C5}" uniqueName="4" name="Content Type" queryTableFieldId="4"/>
    <tableColumn id="5" xr3:uid="{79B06503-F708-4AA7-9B5F-9AFE7651E59B}" uniqueName="5" name="Post Text" queryTableFieldId="5"/>
    <tableColumn id="6" xr3:uid="{0D537DBC-3F5B-4DCE-8123-3E2DC1B0D337}" uniqueName="6" name="Likes" queryTableFieldId="6"/>
    <tableColumn id="7" xr3:uid="{253A23F6-7467-4495-8918-CF978B4420FC}" uniqueName="7" name="Shares" queryTableFieldId="7"/>
    <tableColumn id="8" xr3:uid="{AE5D77EE-B983-4B44-85FF-3181E0744877}" uniqueName="8" name="Comments" queryTableFieldId="8"/>
    <tableColumn id="9" xr3:uid="{FE9827A9-6DD9-422F-9BDE-C67C936BE665}" uniqueName="9" name="Impressions" queryTableFieldId="9"/>
    <tableColumn id="10" xr3:uid="{761F48A4-B1C7-4C1D-98E8-B92A83E488BF}" uniqueName="10" name="Reach" queryTableFieldId="10"/>
    <tableColumn id="11" xr3:uid="{A04BDDDD-DAAA-428D-B887-FFB2121A978C}" uniqueName="11" name="Clicks" queryTableFieldId="11"/>
    <tableColumn id="12" xr3:uid="{1A6288ED-D130-4F03-8582-9CE86D64DCD0}" uniqueName="12" name="Hashtag.1" queryTableFieldId="12"/>
    <tableColumn id="13" xr3:uid="{BE7A36E8-9725-4AD0-B1F2-5F96F8D455B2}" uniqueName="13" name="Hashtag.2" queryTableFieldId="13"/>
    <tableColumn id="14" xr3:uid="{9754CDF1-F8F0-4E79-A3C2-32368DCEC53A}" uniqueName="14" name="Hashtag.3" queryTableFieldId="14"/>
    <tableColumn id="15" xr3:uid="{08FD93B2-F82B-4965-8813-089680177FDD}" uniqueName="15" name="Campaign_Name" queryTableFieldId="15"/>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DF19587-E360-49DB-B8C0-A58763552752}" name="Engagement_Summary" displayName="Engagement_Summary" ref="A1:H201" tableType="queryTable" totalsRowShown="0">
  <sortState xmlns:xlrd2="http://schemas.microsoft.com/office/spreadsheetml/2017/richdata2" ref="A2:H201">
    <sortCondition ref="B1:B201"/>
  </sortState>
  <tableColumns count="8">
    <tableColumn id="1" xr3:uid="{7D9C6A5A-4F2A-4537-95A1-693B69BAF503}" uniqueName="1" name="Week_Start_Date" queryTableFieldId="1"/>
    <tableColumn id="2" xr3:uid="{5F330DE3-FEFB-4B5B-8FC4-FBAD04431881}" uniqueName="2" name="Platform" queryTableFieldId="2"/>
    <tableColumn id="3" xr3:uid="{3731AFDC-1B1D-4D0F-8C0A-1F2A31108C8C}" uniqueName="3" name="New_Followers" queryTableFieldId="3"/>
    <tableColumn id="4" xr3:uid="{E5188729-757E-4A2C-96A8-B238FB9F9E96}" uniqueName="4" name="Unfollows" queryTableFieldId="4"/>
    <tableColumn id="5" xr3:uid="{AF0DEBD2-9A7C-48C0-A443-088E123C3A6F}" uniqueName="5" name="Total_Followers" queryTableFieldId="5"/>
    <tableColumn id="6" xr3:uid="{C188CB21-E478-47C1-BB1B-87BE7C5E099A}" uniqueName="6" name="Engagement_Rate" queryTableFieldId="6"/>
    <tableColumn id="7" xr3:uid="{8FDBB099-7030-4C9E-9F1F-412A785F176F}" uniqueName="7" name="Ad_Spend" queryTableFieldId="7"/>
    <tableColumn id="8" xr3:uid="{09A42F5A-168F-4716-8FB7-C0A984227F47}" uniqueName="8" name="Net Growth" queryTableFieldId="8" dataDxfId="13"/>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DF593879-A6EE-4314-A3F4-AB93912297FF}" name="Campaign_Metadata" displayName="Campaign_Metadata" ref="A1:G5" tableType="queryTable" totalsRowShown="0">
  <autoFilter ref="A1:G5" xr:uid="{B1631B2D-1DC1-491B-82FD-748720150E15}"/>
  <tableColumns count="7">
    <tableColumn id="1" xr3:uid="{1DDC3D36-4F2A-49BD-8439-D8A252F8BEF5}" uniqueName="1" name="Campaign_Name" queryTableFieldId="1"/>
    <tableColumn id="2" xr3:uid="{E2779E1C-0C95-4370-8AAF-657415C0FB3D}" uniqueName="2" name="Start_Date" queryTableFieldId="2"/>
    <tableColumn id="3" xr3:uid="{F428ECD1-3496-457A-A258-1E58EA722F01}" uniqueName="3" name="End_Date" queryTableFieldId="3"/>
    <tableColumn id="4" xr3:uid="{3DCC03CB-06FF-4C99-8AD5-4CD55017488A}" uniqueName="4" name="Objective" queryTableFieldId="4"/>
    <tableColumn id="5" xr3:uid="{B59F84F6-8FF1-4016-9905-CA01C927B8FF}" uniqueName="5" name="Total_Budget" queryTableFieldId="5"/>
    <tableColumn id="6" xr3:uid="{D11B8852-C5FD-46CD-8011-32DBA1EAF35F}" uniqueName="6" name="Target_Platforms" queryTableFieldId="6"/>
    <tableColumn id="7" xr3:uid="{8E0AED56-7844-4B51-B7D0-C960421A8F84}" uniqueName="7" name="Primary_Hashtags" queryTableFieldId="7"/>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2.bin"/><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4" Type="http://schemas.openxmlformats.org/officeDocument/2006/relationships/drawing" Target="../drawings/drawing2.xml"/></Relationships>
</file>

<file path=xl/worksheets/_rels/sheet7.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3.bin"/><Relationship Id="rId1" Type="http://schemas.openxmlformats.org/officeDocument/2006/relationships/pivotTable" Target="../pivotTables/pivotTable8.xml"/></Relationships>
</file>

<file path=xl/worksheets/_rels/sheet8.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rinterSettings" Target="../printerSettings/printerSettings4.bin"/><Relationship Id="rId1" Type="http://schemas.openxmlformats.org/officeDocument/2006/relationships/pivotTable" Target="../pivotTables/pivot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857C1C-2578-4BB8-A326-98B016AED7F1}">
  <dimension ref="A1:O301"/>
  <sheetViews>
    <sheetView topLeftCell="E280" zoomScale="111" workbookViewId="0">
      <selection activeCell="J301" sqref="J301"/>
    </sheetView>
  </sheetViews>
  <sheetFormatPr defaultRowHeight="14.4" x14ac:dyDescent="0.3"/>
  <cols>
    <col min="1" max="1" width="9.109375" bestFit="1" customWidth="1"/>
    <col min="2" max="2" width="10.5546875" bestFit="1" customWidth="1"/>
    <col min="3" max="3" width="15.44140625" bestFit="1" customWidth="1"/>
    <col min="4" max="4" width="14.5546875" bestFit="1" customWidth="1"/>
    <col min="5" max="5" width="38.5546875" bestFit="1" customWidth="1"/>
    <col min="6" max="6" width="7.33203125" bestFit="1" customWidth="1"/>
    <col min="7" max="7" width="8.77734375" bestFit="1" customWidth="1"/>
    <col min="8" max="8" width="12.33203125" bestFit="1" customWidth="1"/>
    <col min="9" max="9" width="13.21875" bestFit="1" customWidth="1"/>
    <col min="10" max="10" width="8.33203125" bestFit="1" customWidth="1"/>
    <col min="11" max="11" width="7.88671875" bestFit="1" customWidth="1"/>
    <col min="12" max="12" width="17" bestFit="1" customWidth="1"/>
    <col min="13" max="13" width="19.109375" bestFit="1" customWidth="1"/>
    <col min="14" max="14" width="17.6640625" bestFit="1" customWidth="1"/>
    <col min="15" max="15" width="17.77734375" bestFit="1" customWidth="1"/>
  </cols>
  <sheetData>
    <row r="1" spans="1:15" x14ac:dyDescent="0.3">
      <c r="A1" t="s">
        <v>0</v>
      </c>
      <c r="B1" t="s">
        <v>1</v>
      </c>
      <c r="C1" t="s">
        <v>2</v>
      </c>
      <c r="D1" t="s">
        <v>3</v>
      </c>
      <c r="E1" t="s">
        <v>4</v>
      </c>
      <c r="F1" t="s">
        <v>5</v>
      </c>
      <c r="G1" t="s">
        <v>6</v>
      </c>
      <c r="H1" t="s">
        <v>7</v>
      </c>
      <c r="I1" t="s">
        <v>8</v>
      </c>
      <c r="J1" t="s">
        <v>9</v>
      </c>
      <c r="K1" t="s">
        <v>10</v>
      </c>
      <c r="L1" t="s">
        <v>1891</v>
      </c>
      <c r="M1" t="s">
        <v>1892</v>
      </c>
      <c r="N1" t="s">
        <v>1893</v>
      </c>
      <c r="O1" t="s">
        <v>11</v>
      </c>
    </row>
    <row r="2" spans="1:15" x14ac:dyDescent="0.3">
      <c r="A2" t="s">
        <v>12</v>
      </c>
      <c r="B2" t="s">
        <v>13</v>
      </c>
      <c r="C2" s="25">
        <v>45657</v>
      </c>
      <c r="D2" t="s">
        <v>14</v>
      </c>
      <c r="E2" t="s">
        <v>15</v>
      </c>
      <c r="F2" t="s">
        <v>528</v>
      </c>
      <c r="G2" t="s">
        <v>529</v>
      </c>
      <c r="H2" t="s">
        <v>530</v>
      </c>
      <c r="I2" t="s">
        <v>531</v>
      </c>
      <c r="J2" t="s">
        <v>532</v>
      </c>
      <c r="K2" t="s">
        <v>533</v>
      </c>
      <c r="L2" t="s">
        <v>438</v>
      </c>
      <c r="M2" t="s">
        <v>534</v>
      </c>
      <c r="N2" t="s">
        <v>534</v>
      </c>
      <c r="O2" t="s">
        <v>16</v>
      </c>
    </row>
    <row r="3" spans="1:15" x14ac:dyDescent="0.3">
      <c r="A3" t="s">
        <v>17</v>
      </c>
      <c r="B3" t="s">
        <v>18</v>
      </c>
      <c r="C3" s="25">
        <v>45596</v>
      </c>
      <c r="D3" t="s">
        <v>20</v>
      </c>
      <c r="E3" t="s">
        <v>21</v>
      </c>
      <c r="F3" t="s">
        <v>535</v>
      </c>
      <c r="G3" t="s">
        <v>536</v>
      </c>
      <c r="H3" t="s">
        <v>537</v>
      </c>
      <c r="I3" t="s">
        <v>538</v>
      </c>
      <c r="J3" t="s">
        <v>539</v>
      </c>
      <c r="K3" t="s">
        <v>540</v>
      </c>
      <c r="L3" t="s">
        <v>439</v>
      </c>
      <c r="M3" t="s">
        <v>534</v>
      </c>
      <c r="N3" t="s">
        <v>534</v>
      </c>
      <c r="O3" t="s">
        <v>16</v>
      </c>
    </row>
    <row r="4" spans="1:15" x14ac:dyDescent="0.3">
      <c r="A4" t="s">
        <v>22</v>
      </c>
      <c r="B4" t="s">
        <v>23</v>
      </c>
      <c r="C4" s="25">
        <v>45535</v>
      </c>
      <c r="D4" t="s">
        <v>24</v>
      </c>
      <c r="E4" t="s">
        <v>25</v>
      </c>
      <c r="F4" t="s">
        <v>541</v>
      </c>
      <c r="G4" t="s">
        <v>542</v>
      </c>
      <c r="H4" t="s">
        <v>543</v>
      </c>
      <c r="I4" t="s">
        <v>544</v>
      </c>
      <c r="J4" t="s">
        <v>545</v>
      </c>
      <c r="K4" t="s">
        <v>546</v>
      </c>
      <c r="L4" t="s">
        <v>438</v>
      </c>
      <c r="M4" t="s">
        <v>534</v>
      </c>
      <c r="N4" t="s">
        <v>534</v>
      </c>
    </row>
    <row r="5" spans="1:15" x14ac:dyDescent="0.3">
      <c r="A5" t="s">
        <v>26</v>
      </c>
      <c r="B5" t="s">
        <v>23</v>
      </c>
      <c r="C5" s="25">
        <v>45535</v>
      </c>
      <c r="D5" t="s">
        <v>20</v>
      </c>
      <c r="E5" t="s">
        <v>27</v>
      </c>
      <c r="F5" t="s">
        <v>547</v>
      </c>
      <c r="G5" t="s">
        <v>548</v>
      </c>
      <c r="H5" t="s">
        <v>549</v>
      </c>
      <c r="I5" t="s">
        <v>550</v>
      </c>
      <c r="J5" t="s">
        <v>551</v>
      </c>
      <c r="K5" t="s">
        <v>552</v>
      </c>
      <c r="L5" t="s">
        <v>439</v>
      </c>
      <c r="M5" t="s">
        <v>440</v>
      </c>
      <c r="N5" t="s">
        <v>441</v>
      </c>
      <c r="O5" t="s">
        <v>28</v>
      </c>
    </row>
    <row r="6" spans="1:15" x14ac:dyDescent="0.3">
      <c r="A6" t="s">
        <v>29</v>
      </c>
      <c r="B6" t="s">
        <v>23</v>
      </c>
      <c r="C6" s="25">
        <v>45504</v>
      </c>
      <c r="D6" t="s">
        <v>20</v>
      </c>
      <c r="E6" t="s">
        <v>27</v>
      </c>
      <c r="F6" t="s">
        <v>553</v>
      </c>
      <c r="G6" t="s">
        <v>554</v>
      </c>
      <c r="H6" t="s">
        <v>555</v>
      </c>
      <c r="I6" t="s">
        <v>556</v>
      </c>
      <c r="J6" t="s">
        <v>557</v>
      </c>
      <c r="K6" t="s">
        <v>558</v>
      </c>
      <c r="L6" t="s">
        <v>438</v>
      </c>
      <c r="M6" t="s">
        <v>534</v>
      </c>
      <c r="N6" t="s">
        <v>534</v>
      </c>
      <c r="O6" t="s">
        <v>30</v>
      </c>
    </row>
    <row r="7" spans="1:15" x14ac:dyDescent="0.3">
      <c r="A7" t="s">
        <v>31</v>
      </c>
      <c r="B7" t="s">
        <v>23</v>
      </c>
      <c r="C7" s="25">
        <v>45504</v>
      </c>
      <c r="D7" t="s">
        <v>20</v>
      </c>
      <c r="E7" t="s">
        <v>27</v>
      </c>
      <c r="F7" t="s">
        <v>559</v>
      </c>
      <c r="G7" t="s">
        <v>560</v>
      </c>
      <c r="H7" t="s">
        <v>561</v>
      </c>
      <c r="I7" t="s">
        <v>562</v>
      </c>
      <c r="J7" t="s">
        <v>563</v>
      </c>
      <c r="K7" t="s">
        <v>564</v>
      </c>
      <c r="L7" t="s">
        <v>440</v>
      </c>
      <c r="M7" t="s">
        <v>534</v>
      </c>
      <c r="N7" t="s">
        <v>534</v>
      </c>
      <c r="O7" t="s">
        <v>28</v>
      </c>
    </row>
    <row r="8" spans="1:15" x14ac:dyDescent="0.3">
      <c r="A8" t="s">
        <v>32</v>
      </c>
      <c r="B8" t="s">
        <v>18</v>
      </c>
      <c r="C8" s="25">
        <v>45504</v>
      </c>
      <c r="D8" t="s">
        <v>24</v>
      </c>
      <c r="E8" t="s">
        <v>33</v>
      </c>
      <c r="F8" t="s">
        <v>565</v>
      </c>
      <c r="G8" t="s">
        <v>566</v>
      </c>
      <c r="H8" t="s">
        <v>567</v>
      </c>
      <c r="I8" t="s">
        <v>568</v>
      </c>
      <c r="J8" t="s">
        <v>569</v>
      </c>
      <c r="K8" t="s">
        <v>570</v>
      </c>
      <c r="L8" t="s">
        <v>439</v>
      </c>
      <c r="M8" t="s">
        <v>534</v>
      </c>
      <c r="N8" t="s">
        <v>534</v>
      </c>
      <c r="O8" t="s">
        <v>34</v>
      </c>
    </row>
    <row r="9" spans="1:15" x14ac:dyDescent="0.3">
      <c r="A9" t="s">
        <v>35</v>
      </c>
      <c r="B9" t="s">
        <v>18</v>
      </c>
      <c r="C9" s="25">
        <v>45504</v>
      </c>
      <c r="D9" t="s">
        <v>14</v>
      </c>
      <c r="E9" t="s">
        <v>36</v>
      </c>
      <c r="F9" t="s">
        <v>571</v>
      </c>
      <c r="G9" t="s">
        <v>572</v>
      </c>
      <c r="H9" t="s">
        <v>573</v>
      </c>
      <c r="I9" t="s">
        <v>574</v>
      </c>
      <c r="J9" t="s">
        <v>575</v>
      </c>
      <c r="K9" t="s">
        <v>576</v>
      </c>
      <c r="L9" t="s">
        <v>438</v>
      </c>
      <c r="M9" t="s">
        <v>534</v>
      </c>
      <c r="N9" t="s">
        <v>534</v>
      </c>
    </row>
    <row r="10" spans="1:15" x14ac:dyDescent="0.3">
      <c r="A10" t="s">
        <v>37</v>
      </c>
      <c r="B10" t="s">
        <v>38</v>
      </c>
      <c r="C10" s="25">
        <v>45688</v>
      </c>
      <c r="D10" t="s">
        <v>20</v>
      </c>
      <c r="E10" t="s">
        <v>39</v>
      </c>
      <c r="F10" t="s">
        <v>577</v>
      </c>
      <c r="G10" t="s">
        <v>578</v>
      </c>
      <c r="H10" t="s">
        <v>573</v>
      </c>
      <c r="I10" t="s">
        <v>579</v>
      </c>
      <c r="J10" t="s">
        <v>580</v>
      </c>
      <c r="K10" t="s">
        <v>581</v>
      </c>
      <c r="L10" t="s">
        <v>438</v>
      </c>
      <c r="M10" t="s">
        <v>534</v>
      </c>
      <c r="N10" t="s">
        <v>534</v>
      </c>
      <c r="O10" t="s">
        <v>30</v>
      </c>
    </row>
    <row r="11" spans="1:15" x14ac:dyDescent="0.3">
      <c r="A11" t="s">
        <v>40</v>
      </c>
      <c r="B11" t="s">
        <v>13</v>
      </c>
      <c r="C11" s="25">
        <v>45626</v>
      </c>
      <c r="D11" t="s">
        <v>20</v>
      </c>
      <c r="E11" t="s">
        <v>41</v>
      </c>
      <c r="F11" t="s">
        <v>582</v>
      </c>
      <c r="G11" t="s">
        <v>583</v>
      </c>
      <c r="H11" t="s">
        <v>584</v>
      </c>
      <c r="I11" t="s">
        <v>585</v>
      </c>
      <c r="J11" t="s">
        <v>586</v>
      </c>
      <c r="K11" t="s">
        <v>576</v>
      </c>
      <c r="L11" t="s">
        <v>439</v>
      </c>
      <c r="M11" t="s">
        <v>534</v>
      </c>
      <c r="N11" t="s">
        <v>534</v>
      </c>
      <c r="O11" t="s">
        <v>16</v>
      </c>
    </row>
    <row r="12" spans="1:15" x14ac:dyDescent="0.3">
      <c r="A12" t="s">
        <v>42</v>
      </c>
      <c r="B12" t="s">
        <v>38</v>
      </c>
      <c r="C12" s="25">
        <v>45626</v>
      </c>
      <c r="D12" t="s">
        <v>14</v>
      </c>
      <c r="E12" t="s">
        <v>43</v>
      </c>
      <c r="F12" t="s">
        <v>587</v>
      </c>
      <c r="G12" t="s">
        <v>588</v>
      </c>
      <c r="H12" t="s">
        <v>589</v>
      </c>
      <c r="I12" t="s">
        <v>590</v>
      </c>
      <c r="J12" t="s">
        <v>591</v>
      </c>
      <c r="K12" t="s">
        <v>592</v>
      </c>
      <c r="L12" t="s">
        <v>438</v>
      </c>
      <c r="M12" t="s">
        <v>534</v>
      </c>
      <c r="N12" t="s">
        <v>534</v>
      </c>
      <c r="O12" t="s">
        <v>16</v>
      </c>
    </row>
    <row r="13" spans="1:15" x14ac:dyDescent="0.3">
      <c r="A13" t="s">
        <v>44</v>
      </c>
      <c r="B13" t="s">
        <v>18</v>
      </c>
      <c r="C13" s="25">
        <v>45534</v>
      </c>
      <c r="D13" t="s">
        <v>45</v>
      </c>
      <c r="E13" t="s">
        <v>46</v>
      </c>
      <c r="F13" t="s">
        <v>593</v>
      </c>
      <c r="G13" t="s">
        <v>594</v>
      </c>
      <c r="H13" t="s">
        <v>595</v>
      </c>
      <c r="I13" t="s">
        <v>596</v>
      </c>
      <c r="J13" t="s">
        <v>597</v>
      </c>
      <c r="K13" t="s">
        <v>598</v>
      </c>
      <c r="L13" t="s">
        <v>439</v>
      </c>
      <c r="M13" t="s">
        <v>534</v>
      </c>
      <c r="N13" t="s">
        <v>534</v>
      </c>
      <c r="O13" t="s">
        <v>16</v>
      </c>
    </row>
    <row r="14" spans="1:15" x14ac:dyDescent="0.3">
      <c r="A14" t="s">
        <v>47</v>
      </c>
      <c r="B14" t="s">
        <v>23</v>
      </c>
      <c r="C14" s="25">
        <v>45687</v>
      </c>
      <c r="D14" t="s">
        <v>24</v>
      </c>
      <c r="E14" t="s">
        <v>25</v>
      </c>
      <c r="F14" t="s">
        <v>599</v>
      </c>
      <c r="G14" t="s">
        <v>600</v>
      </c>
      <c r="H14" t="s">
        <v>601</v>
      </c>
      <c r="I14" t="s">
        <v>602</v>
      </c>
      <c r="J14" t="s">
        <v>603</v>
      </c>
      <c r="K14" t="s">
        <v>604</v>
      </c>
      <c r="L14" t="s">
        <v>439</v>
      </c>
      <c r="M14" t="s">
        <v>534</v>
      </c>
      <c r="N14" t="s">
        <v>534</v>
      </c>
      <c r="O14" t="s">
        <v>16</v>
      </c>
    </row>
    <row r="15" spans="1:15" x14ac:dyDescent="0.3">
      <c r="A15" t="s">
        <v>48</v>
      </c>
      <c r="B15" t="s">
        <v>23</v>
      </c>
      <c r="C15" s="25">
        <v>45655</v>
      </c>
      <c r="D15" t="s">
        <v>20</v>
      </c>
      <c r="E15" t="s">
        <v>27</v>
      </c>
      <c r="F15" t="s">
        <v>605</v>
      </c>
      <c r="G15" t="s">
        <v>606</v>
      </c>
      <c r="H15" t="s">
        <v>607</v>
      </c>
      <c r="I15" t="s">
        <v>608</v>
      </c>
      <c r="J15" t="s">
        <v>609</v>
      </c>
      <c r="K15" t="s">
        <v>610</v>
      </c>
      <c r="L15" t="s">
        <v>439</v>
      </c>
      <c r="M15" t="s">
        <v>425</v>
      </c>
      <c r="N15" t="s">
        <v>534</v>
      </c>
      <c r="O15" t="s">
        <v>30</v>
      </c>
    </row>
    <row r="16" spans="1:15" x14ac:dyDescent="0.3">
      <c r="A16" t="s">
        <v>49</v>
      </c>
      <c r="B16" t="s">
        <v>38</v>
      </c>
      <c r="C16" s="25">
        <v>45625</v>
      </c>
      <c r="D16" t="s">
        <v>14</v>
      </c>
      <c r="E16" t="s">
        <v>43</v>
      </c>
      <c r="F16" t="s">
        <v>611</v>
      </c>
      <c r="G16" t="s">
        <v>612</v>
      </c>
      <c r="H16" t="s">
        <v>613</v>
      </c>
      <c r="I16" t="s">
        <v>614</v>
      </c>
      <c r="J16" t="s">
        <v>615</v>
      </c>
      <c r="K16" t="s">
        <v>616</v>
      </c>
      <c r="L16" t="s">
        <v>440</v>
      </c>
      <c r="M16" t="s">
        <v>534</v>
      </c>
      <c r="N16" t="s">
        <v>534</v>
      </c>
    </row>
    <row r="17" spans="1:15" x14ac:dyDescent="0.3">
      <c r="A17" t="s">
        <v>50</v>
      </c>
      <c r="B17" t="s">
        <v>13</v>
      </c>
      <c r="C17" s="25">
        <v>45594</v>
      </c>
      <c r="D17" t="s">
        <v>45</v>
      </c>
      <c r="E17" t="s">
        <v>51</v>
      </c>
      <c r="F17" t="s">
        <v>617</v>
      </c>
      <c r="G17" t="s">
        <v>618</v>
      </c>
      <c r="H17" t="s">
        <v>619</v>
      </c>
      <c r="I17" t="s">
        <v>620</v>
      </c>
      <c r="J17" t="s">
        <v>621</v>
      </c>
      <c r="K17" t="s">
        <v>622</v>
      </c>
      <c r="L17" t="s">
        <v>440</v>
      </c>
      <c r="M17" t="s">
        <v>534</v>
      </c>
      <c r="N17" t="s">
        <v>534</v>
      </c>
      <c r="O17" t="s">
        <v>28</v>
      </c>
    </row>
    <row r="18" spans="1:15" x14ac:dyDescent="0.3">
      <c r="A18" t="s">
        <v>52</v>
      </c>
      <c r="B18" t="s">
        <v>13</v>
      </c>
      <c r="C18" s="25">
        <v>45564</v>
      </c>
      <c r="D18" t="s">
        <v>53</v>
      </c>
      <c r="E18" t="s">
        <v>54</v>
      </c>
      <c r="F18" t="s">
        <v>623</v>
      </c>
      <c r="G18" t="s">
        <v>624</v>
      </c>
      <c r="H18" t="s">
        <v>625</v>
      </c>
      <c r="I18" t="s">
        <v>626</v>
      </c>
      <c r="J18" t="s">
        <v>627</v>
      </c>
      <c r="K18" t="s">
        <v>628</v>
      </c>
      <c r="L18" t="s">
        <v>440</v>
      </c>
      <c r="M18" t="s">
        <v>534</v>
      </c>
      <c r="N18" t="s">
        <v>534</v>
      </c>
      <c r="O18" t="s">
        <v>34</v>
      </c>
    </row>
    <row r="19" spans="1:15" x14ac:dyDescent="0.3">
      <c r="A19" t="s">
        <v>55</v>
      </c>
      <c r="B19" t="s">
        <v>13</v>
      </c>
      <c r="C19" s="25">
        <v>45502</v>
      </c>
      <c r="D19" t="s">
        <v>57</v>
      </c>
      <c r="E19" t="s">
        <v>58</v>
      </c>
      <c r="F19" t="s">
        <v>629</v>
      </c>
      <c r="G19" t="s">
        <v>630</v>
      </c>
      <c r="H19" t="s">
        <v>600</v>
      </c>
      <c r="I19" t="s">
        <v>631</v>
      </c>
      <c r="J19" t="s">
        <v>632</v>
      </c>
      <c r="K19" t="s">
        <v>633</v>
      </c>
      <c r="L19" t="s">
        <v>440</v>
      </c>
      <c r="M19" t="s">
        <v>534</v>
      </c>
      <c r="N19" t="s">
        <v>534</v>
      </c>
      <c r="O19" t="s">
        <v>16</v>
      </c>
    </row>
    <row r="20" spans="1:15" x14ac:dyDescent="0.3">
      <c r="A20" t="s">
        <v>59</v>
      </c>
      <c r="B20" t="s">
        <v>38</v>
      </c>
      <c r="C20" s="25">
        <v>45502</v>
      </c>
      <c r="D20" t="s">
        <v>53</v>
      </c>
      <c r="E20" t="s">
        <v>60</v>
      </c>
      <c r="F20" t="s">
        <v>634</v>
      </c>
      <c r="G20" t="s">
        <v>635</v>
      </c>
      <c r="H20" t="s">
        <v>636</v>
      </c>
      <c r="I20" t="s">
        <v>637</v>
      </c>
      <c r="J20" t="s">
        <v>638</v>
      </c>
      <c r="K20" t="s">
        <v>639</v>
      </c>
      <c r="L20" t="s">
        <v>440</v>
      </c>
      <c r="M20" t="s">
        <v>534</v>
      </c>
      <c r="N20" t="s">
        <v>534</v>
      </c>
      <c r="O20" t="s">
        <v>16</v>
      </c>
    </row>
    <row r="21" spans="1:15" x14ac:dyDescent="0.3">
      <c r="A21" t="s">
        <v>61</v>
      </c>
      <c r="B21" t="s">
        <v>38</v>
      </c>
      <c r="C21" s="25">
        <v>45502</v>
      </c>
      <c r="D21" t="s">
        <v>57</v>
      </c>
      <c r="E21" t="s">
        <v>62</v>
      </c>
      <c r="F21" t="s">
        <v>640</v>
      </c>
      <c r="G21" t="s">
        <v>641</v>
      </c>
      <c r="H21" t="s">
        <v>642</v>
      </c>
      <c r="I21" t="s">
        <v>643</v>
      </c>
      <c r="J21" t="s">
        <v>644</v>
      </c>
      <c r="K21" t="s">
        <v>645</v>
      </c>
      <c r="L21" t="s">
        <v>438</v>
      </c>
      <c r="M21" t="s">
        <v>534</v>
      </c>
      <c r="N21" t="s">
        <v>534</v>
      </c>
    </row>
    <row r="22" spans="1:15" x14ac:dyDescent="0.3">
      <c r="A22" t="s">
        <v>63</v>
      </c>
      <c r="B22" t="s">
        <v>23</v>
      </c>
      <c r="C22" s="25">
        <v>45776</v>
      </c>
      <c r="D22" t="s">
        <v>57</v>
      </c>
      <c r="E22" t="s">
        <v>64</v>
      </c>
      <c r="F22" t="s">
        <v>646</v>
      </c>
      <c r="G22" t="s">
        <v>647</v>
      </c>
      <c r="H22" t="s">
        <v>648</v>
      </c>
      <c r="I22" t="s">
        <v>649</v>
      </c>
      <c r="J22" t="s">
        <v>650</v>
      </c>
      <c r="K22" t="s">
        <v>651</v>
      </c>
      <c r="L22" t="s">
        <v>440</v>
      </c>
      <c r="M22" t="s">
        <v>534</v>
      </c>
      <c r="N22" t="s">
        <v>534</v>
      </c>
      <c r="O22" t="s">
        <v>34</v>
      </c>
    </row>
    <row r="23" spans="1:15" x14ac:dyDescent="0.3">
      <c r="A23" t="s">
        <v>65</v>
      </c>
      <c r="B23" t="s">
        <v>18</v>
      </c>
      <c r="C23" s="25">
        <v>45745</v>
      </c>
      <c r="D23" t="s">
        <v>20</v>
      </c>
      <c r="E23" t="s">
        <v>21</v>
      </c>
      <c r="F23" t="s">
        <v>652</v>
      </c>
      <c r="G23" t="s">
        <v>653</v>
      </c>
      <c r="H23" t="s">
        <v>654</v>
      </c>
      <c r="I23" t="s">
        <v>655</v>
      </c>
      <c r="J23" t="s">
        <v>656</v>
      </c>
      <c r="K23" t="s">
        <v>657</v>
      </c>
      <c r="L23" t="s">
        <v>440</v>
      </c>
      <c r="M23" t="s">
        <v>534</v>
      </c>
      <c r="N23" t="s">
        <v>534</v>
      </c>
      <c r="O23" t="s">
        <v>30</v>
      </c>
    </row>
    <row r="24" spans="1:15" x14ac:dyDescent="0.3">
      <c r="A24" t="s">
        <v>66</v>
      </c>
      <c r="B24" t="s">
        <v>23</v>
      </c>
      <c r="C24" s="25">
        <v>45745</v>
      </c>
      <c r="D24" t="s">
        <v>24</v>
      </c>
      <c r="E24" t="s">
        <v>25</v>
      </c>
      <c r="F24" t="s">
        <v>658</v>
      </c>
      <c r="G24" t="s">
        <v>659</v>
      </c>
      <c r="H24" t="s">
        <v>660</v>
      </c>
      <c r="I24" t="s">
        <v>661</v>
      </c>
      <c r="J24" t="s">
        <v>662</v>
      </c>
      <c r="K24" t="s">
        <v>663</v>
      </c>
      <c r="L24" t="s">
        <v>438</v>
      </c>
      <c r="M24" t="s">
        <v>534</v>
      </c>
      <c r="N24" t="s">
        <v>534</v>
      </c>
      <c r="O24" t="s">
        <v>30</v>
      </c>
    </row>
    <row r="25" spans="1:15" x14ac:dyDescent="0.3">
      <c r="A25" t="s">
        <v>67</v>
      </c>
      <c r="B25" t="s">
        <v>18</v>
      </c>
      <c r="C25" s="25">
        <v>45624</v>
      </c>
      <c r="D25" t="s">
        <v>45</v>
      </c>
      <c r="E25" t="s">
        <v>46</v>
      </c>
      <c r="F25" t="s">
        <v>664</v>
      </c>
      <c r="G25" t="s">
        <v>665</v>
      </c>
      <c r="H25" t="s">
        <v>666</v>
      </c>
      <c r="I25" t="s">
        <v>667</v>
      </c>
      <c r="J25" t="s">
        <v>668</v>
      </c>
      <c r="K25" t="s">
        <v>616</v>
      </c>
      <c r="L25" t="s">
        <v>438</v>
      </c>
      <c r="M25" t="s">
        <v>534</v>
      </c>
      <c r="N25" t="s">
        <v>534</v>
      </c>
      <c r="O25" t="s">
        <v>34</v>
      </c>
    </row>
    <row r="26" spans="1:15" x14ac:dyDescent="0.3">
      <c r="A26" t="s">
        <v>68</v>
      </c>
      <c r="B26" t="s">
        <v>18</v>
      </c>
      <c r="C26" s="25">
        <v>45624</v>
      </c>
      <c r="D26" t="s">
        <v>20</v>
      </c>
      <c r="E26" t="s">
        <v>21</v>
      </c>
      <c r="F26" t="s">
        <v>669</v>
      </c>
      <c r="G26" t="s">
        <v>670</v>
      </c>
      <c r="H26" t="s">
        <v>671</v>
      </c>
      <c r="I26" t="s">
        <v>672</v>
      </c>
      <c r="J26" t="s">
        <v>673</v>
      </c>
      <c r="K26" t="s">
        <v>610</v>
      </c>
      <c r="L26" t="s">
        <v>438</v>
      </c>
      <c r="M26" t="s">
        <v>534</v>
      </c>
      <c r="N26" t="s">
        <v>534</v>
      </c>
    </row>
    <row r="27" spans="1:15" x14ac:dyDescent="0.3">
      <c r="A27" t="s">
        <v>69</v>
      </c>
      <c r="B27" t="s">
        <v>38</v>
      </c>
      <c r="C27" s="25">
        <v>45624</v>
      </c>
      <c r="D27" t="s">
        <v>45</v>
      </c>
      <c r="E27" t="s">
        <v>70</v>
      </c>
      <c r="F27" t="s">
        <v>674</v>
      </c>
      <c r="G27" t="s">
        <v>675</v>
      </c>
      <c r="H27" t="s">
        <v>676</v>
      </c>
      <c r="I27" t="s">
        <v>677</v>
      </c>
      <c r="J27" t="s">
        <v>678</v>
      </c>
      <c r="K27" t="s">
        <v>679</v>
      </c>
      <c r="L27" t="s">
        <v>438</v>
      </c>
      <c r="M27" t="s">
        <v>534</v>
      </c>
      <c r="N27" t="s">
        <v>534</v>
      </c>
    </row>
    <row r="28" spans="1:15" x14ac:dyDescent="0.3">
      <c r="A28" t="s">
        <v>71</v>
      </c>
      <c r="B28" t="s">
        <v>13</v>
      </c>
      <c r="C28" s="25">
        <v>45593</v>
      </c>
      <c r="D28" t="s">
        <v>53</v>
      </c>
      <c r="E28" t="s">
        <v>54</v>
      </c>
      <c r="F28" t="s">
        <v>680</v>
      </c>
      <c r="G28" t="s">
        <v>681</v>
      </c>
      <c r="H28" t="s">
        <v>682</v>
      </c>
      <c r="I28" t="s">
        <v>683</v>
      </c>
      <c r="J28" t="s">
        <v>684</v>
      </c>
      <c r="K28" t="s">
        <v>685</v>
      </c>
      <c r="L28" t="s">
        <v>439</v>
      </c>
      <c r="M28" t="s">
        <v>534</v>
      </c>
      <c r="N28" t="s">
        <v>534</v>
      </c>
      <c r="O28" t="s">
        <v>30</v>
      </c>
    </row>
    <row r="29" spans="1:15" x14ac:dyDescent="0.3">
      <c r="A29" t="s">
        <v>73</v>
      </c>
      <c r="B29" t="s">
        <v>13</v>
      </c>
      <c r="C29" s="25">
        <v>45593</v>
      </c>
      <c r="D29" t="s">
        <v>57</v>
      </c>
      <c r="E29" t="s">
        <v>58</v>
      </c>
      <c r="F29" t="s">
        <v>686</v>
      </c>
      <c r="G29" t="s">
        <v>687</v>
      </c>
      <c r="H29" t="s">
        <v>688</v>
      </c>
      <c r="I29" t="s">
        <v>689</v>
      </c>
      <c r="J29" t="s">
        <v>690</v>
      </c>
      <c r="K29" t="s">
        <v>691</v>
      </c>
      <c r="L29" t="s">
        <v>440</v>
      </c>
      <c r="M29" t="s">
        <v>534</v>
      </c>
      <c r="N29" t="s">
        <v>534</v>
      </c>
      <c r="O29" t="s">
        <v>34</v>
      </c>
    </row>
    <row r="30" spans="1:15" x14ac:dyDescent="0.3">
      <c r="A30" t="s">
        <v>74</v>
      </c>
      <c r="B30" t="s">
        <v>23</v>
      </c>
      <c r="C30" s="25">
        <v>45501</v>
      </c>
      <c r="D30" t="s">
        <v>24</v>
      </c>
      <c r="E30" t="s">
        <v>25</v>
      </c>
      <c r="F30" t="s">
        <v>692</v>
      </c>
      <c r="G30" t="s">
        <v>693</v>
      </c>
      <c r="H30" t="s">
        <v>694</v>
      </c>
      <c r="I30" t="s">
        <v>695</v>
      </c>
      <c r="J30" t="s">
        <v>696</v>
      </c>
      <c r="K30" t="s">
        <v>697</v>
      </c>
      <c r="L30" t="s">
        <v>440</v>
      </c>
      <c r="M30" t="s">
        <v>534</v>
      </c>
      <c r="N30" t="s">
        <v>534</v>
      </c>
      <c r="O30" t="s">
        <v>28</v>
      </c>
    </row>
    <row r="31" spans="1:15" x14ac:dyDescent="0.3">
      <c r="A31" t="s">
        <v>75</v>
      </c>
      <c r="B31" t="s">
        <v>18</v>
      </c>
      <c r="C31" s="25">
        <v>45775</v>
      </c>
      <c r="D31" t="s">
        <v>20</v>
      </c>
      <c r="E31" t="s">
        <v>21</v>
      </c>
      <c r="F31" t="s">
        <v>698</v>
      </c>
      <c r="G31" t="s">
        <v>699</v>
      </c>
      <c r="H31" t="s">
        <v>700</v>
      </c>
      <c r="I31" t="s">
        <v>701</v>
      </c>
      <c r="J31" t="s">
        <v>702</v>
      </c>
      <c r="K31" t="s">
        <v>703</v>
      </c>
      <c r="L31" t="s">
        <v>438</v>
      </c>
      <c r="M31" t="s">
        <v>534</v>
      </c>
      <c r="N31" t="s">
        <v>534</v>
      </c>
      <c r="O31" t="s">
        <v>30</v>
      </c>
    </row>
    <row r="32" spans="1:15" x14ac:dyDescent="0.3">
      <c r="A32" t="s">
        <v>77</v>
      </c>
      <c r="B32" t="s">
        <v>23</v>
      </c>
      <c r="C32" s="25">
        <v>45775</v>
      </c>
      <c r="D32" t="s">
        <v>45</v>
      </c>
      <c r="E32" t="s">
        <v>78</v>
      </c>
      <c r="F32" t="s">
        <v>704</v>
      </c>
      <c r="G32" t="s">
        <v>705</v>
      </c>
      <c r="H32" t="s">
        <v>706</v>
      </c>
      <c r="I32" t="s">
        <v>707</v>
      </c>
      <c r="J32" t="s">
        <v>708</v>
      </c>
      <c r="K32" t="s">
        <v>709</v>
      </c>
      <c r="L32" t="s">
        <v>439</v>
      </c>
      <c r="M32" t="s">
        <v>534</v>
      </c>
      <c r="N32" t="s">
        <v>534</v>
      </c>
      <c r="O32" t="s">
        <v>30</v>
      </c>
    </row>
    <row r="33" spans="1:15" x14ac:dyDescent="0.3">
      <c r="A33" t="s">
        <v>79</v>
      </c>
      <c r="B33" t="s">
        <v>38</v>
      </c>
      <c r="C33" s="25">
        <v>45744</v>
      </c>
      <c r="D33" t="s">
        <v>57</v>
      </c>
      <c r="E33" t="s">
        <v>62</v>
      </c>
      <c r="F33" t="s">
        <v>710</v>
      </c>
      <c r="G33" t="s">
        <v>711</v>
      </c>
      <c r="H33" t="s">
        <v>712</v>
      </c>
      <c r="I33" t="s">
        <v>713</v>
      </c>
      <c r="J33" t="s">
        <v>714</v>
      </c>
      <c r="K33" t="s">
        <v>715</v>
      </c>
      <c r="L33" t="s">
        <v>440</v>
      </c>
      <c r="M33" t="s">
        <v>534</v>
      </c>
      <c r="N33" t="s">
        <v>534</v>
      </c>
    </row>
    <row r="34" spans="1:15" x14ac:dyDescent="0.3">
      <c r="A34" t="s">
        <v>80</v>
      </c>
      <c r="B34" t="s">
        <v>38</v>
      </c>
      <c r="C34" s="25">
        <v>45744</v>
      </c>
      <c r="D34" t="s">
        <v>20</v>
      </c>
      <c r="E34" t="s">
        <v>39</v>
      </c>
      <c r="F34" t="s">
        <v>716</v>
      </c>
      <c r="G34" t="s">
        <v>717</v>
      </c>
      <c r="H34" t="s">
        <v>718</v>
      </c>
      <c r="I34" t="s">
        <v>719</v>
      </c>
      <c r="J34" t="s">
        <v>720</v>
      </c>
      <c r="K34" t="s">
        <v>721</v>
      </c>
      <c r="L34" t="s">
        <v>438</v>
      </c>
      <c r="M34" t="s">
        <v>534</v>
      </c>
      <c r="N34" t="s">
        <v>534</v>
      </c>
    </row>
    <row r="35" spans="1:15" x14ac:dyDescent="0.3">
      <c r="A35" t="s">
        <v>81</v>
      </c>
      <c r="B35" t="s">
        <v>38</v>
      </c>
      <c r="C35" s="25">
        <v>45685</v>
      </c>
      <c r="D35" t="s">
        <v>14</v>
      </c>
      <c r="E35" t="s">
        <v>43</v>
      </c>
      <c r="F35" t="s">
        <v>722</v>
      </c>
      <c r="G35" t="s">
        <v>723</v>
      </c>
      <c r="H35" t="s">
        <v>724</v>
      </c>
      <c r="I35" t="s">
        <v>725</v>
      </c>
      <c r="J35" t="s">
        <v>726</v>
      </c>
      <c r="K35" t="s">
        <v>727</v>
      </c>
      <c r="L35" t="s">
        <v>440</v>
      </c>
      <c r="M35" t="s">
        <v>439</v>
      </c>
      <c r="N35" t="s">
        <v>442</v>
      </c>
      <c r="O35" t="s">
        <v>30</v>
      </c>
    </row>
    <row r="36" spans="1:15" x14ac:dyDescent="0.3">
      <c r="A36" t="s">
        <v>82</v>
      </c>
      <c r="B36" t="s">
        <v>23</v>
      </c>
      <c r="C36" s="25">
        <v>45685</v>
      </c>
      <c r="D36" t="s">
        <v>53</v>
      </c>
      <c r="E36" t="s">
        <v>83</v>
      </c>
      <c r="F36" t="s">
        <v>728</v>
      </c>
      <c r="G36" t="s">
        <v>729</v>
      </c>
      <c r="H36" t="s">
        <v>682</v>
      </c>
      <c r="I36" t="s">
        <v>730</v>
      </c>
      <c r="J36" t="s">
        <v>731</v>
      </c>
      <c r="K36" t="s">
        <v>639</v>
      </c>
      <c r="L36" t="s">
        <v>439</v>
      </c>
      <c r="M36" t="s">
        <v>534</v>
      </c>
      <c r="N36" t="s">
        <v>534</v>
      </c>
      <c r="O36" t="s">
        <v>34</v>
      </c>
    </row>
    <row r="37" spans="1:15" x14ac:dyDescent="0.3">
      <c r="A37" t="s">
        <v>84</v>
      </c>
      <c r="B37" t="s">
        <v>38</v>
      </c>
      <c r="C37" s="25">
        <v>45592</v>
      </c>
      <c r="D37" t="s">
        <v>24</v>
      </c>
      <c r="E37" t="s">
        <v>85</v>
      </c>
      <c r="F37" t="s">
        <v>732</v>
      </c>
      <c r="G37" t="s">
        <v>733</v>
      </c>
      <c r="H37" t="s">
        <v>606</v>
      </c>
      <c r="I37" t="s">
        <v>734</v>
      </c>
      <c r="J37" t="s">
        <v>735</v>
      </c>
      <c r="K37" t="s">
        <v>736</v>
      </c>
      <c r="L37" t="s">
        <v>440</v>
      </c>
      <c r="M37" t="s">
        <v>534</v>
      </c>
      <c r="N37" t="s">
        <v>534</v>
      </c>
      <c r="O37" t="s">
        <v>28</v>
      </c>
    </row>
    <row r="38" spans="1:15" x14ac:dyDescent="0.3">
      <c r="A38" t="s">
        <v>86</v>
      </c>
      <c r="B38" t="s">
        <v>18</v>
      </c>
      <c r="C38" s="25">
        <v>45531</v>
      </c>
      <c r="D38" t="s">
        <v>53</v>
      </c>
      <c r="E38" t="s">
        <v>87</v>
      </c>
      <c r="F38" t="s">
        <v>737</v>
      </c>
      <c r="G38" t="s">
        <v>738</v>
      </c>
      <c r="H38" t="s">
        <v>739</v>
      </c>
      <c r="I38" t="s">
        <v>740</v>
      </c>
      <c r="J38" t="s">
        <v>741</v>
      </c>
      <c r="K38" t="s">
        <v>742</v>
      </c>
      <c r="L38" t="s">
        <v>438</v>
      </c>
      <c r="M38" t="s">
        <v>440</v>
      </c>
      <c r="N38" t="s">
        <v>441</v>
      </c>
    </row>
    <row r="39" spans="1:15" x14ac:dyDescent="0.3">
      <c r="A39" t="s">
        <v>88</v>
      </c>
      <c r="B39" t="s">
        <v>38</v>
      </c>
      <c r="C39" s="25">
        <v>45743</v>
      </c>
      <c r="D39" t="s">
        <v>45</v>
      </c>
      <c r="E39" t="s">
        <v>70</v>
      </c>
      <c r="F39" t="s">
        <v>743</v>
      </c>
      <c r="G39" t="s">
        <v>744</v>
      </c>
      <c r="H39" t="s">
        <v>738</v>
      </c>
      <c r="I39" t="s">
        <v>745</v>
      </c>
      <c r="J39" t="s">
        <v>746</v>
      </c>
      <c r="K39" t="s">
        <v>554</v>
      </c>
      <c r="L39" t="s">
        <v>439</v>
      </c>
      <c r="M39" t="s">
        <v>534</v>
      </c>
      <c r="N39" t="s">
        <v>534</v>
      </c>
      <c r="O39" t="s">
        <v>30</v>
      </c>
    </row>
    <row r="40" spans="1:15" x14ac:dyDescent="0.3">
      <c r="A40" t="s">
        <v>89</v>
      </c>
      <c r="B40" t="s">
        <v>38</v>
      </c>
      <c r="C40" s="25">
        <v>45743</v>
      </c>
      <c r="D40" t="s">
        <v>20</v>
      </c>
      <c r="E40" t="s">
        <v>39</v>
      </c>
      <c r="F40" t="s">
        <v>747</v>
      </c>
      <c r="G40" t="s">
        <v>748</v>
      </c>
      <c r="H40" t="s">
        <v>749</v>
      </c>
      <c r="I40" t="s">
        <v>750</v>
      </c>
      <c r="J40" t="s">
        <v>751</v>
      </c>
      <c r="K40" t="s">
        <v>752</v>
      </c>
      <c r="L40" t="s">
        <v>438</v>
      </c>
      <c r="M40" t="s">
        <v>534</v>
      </c>
      <c r="N40" t="s">
        <v>534</v>
      </c>
    </row>
    <row r="41" spans="1:15" x14ac:dyDescent="0.3">
      <c r="A41" t="s">
        <v>90</v>
      </c>
      <c r="B41" t="s">
        <v>13</v>
      </c>
      <c r="C41" s="25">
        <v>45715</v>
      </c>
      <c r="D41" t="s">
        <v>45</v>
      </c>
      <c r="E41" t="s">
        <v>51</v>
      </c>
      <c r="F41" t="s">
        <v>753</v>
      </c>
      <c r="G41" t="s">
        <v>754</v>
      </c>
      <c r="H41" t="s">
        <v>618</v>
      </c>
      <c r="I41" t="s">
        <v>755</v>
      </c>
      <c r="J41" t="s">
        <v>756</v>
      </c>
      <c r="K41" t="s">
        <v>757</v>
      </c>
      <c r="L41" t="s">
        <v>439</v>
      </c>
      <c r="M41" t="s">
        <v>442</v>
      </c>
      <c r="N41" t="s">
        <v>534</v>
      </c>
      <c r="O41" t="s">
        <v>34</v>
      </c>
    </row>
    <row r="42" spans="1:15" x14ac:dyDescent="0.3">
      <c r="A42" t="s">
        <v>91</v>
      </c>
      <c r="B42" t="s">
        <v>18</v>
      </c>
      <c r="C42" s="25">
        <v>45715</v>
      </c>
      <c r="D42" t="s">
        <v>45</v>
      </c>
      <c r="E42" t="s">
        <v>46</v>
      </c>
      <c r="F42" t="s">
        <v>758</v>
      </c>
      <c r="G42" t="s">
        <v>659</v>
      </c>
      <c r="H42" t="s">
        <v>759</v>
      </c>
      <c r="I42" t="s">
        <v>760</v>
      </c>
      <c r="J42" t="s">
        <v>761</v>
      </c>
      <c r="K42" t="s">
        <v>762</v>
      </c>
      <c r="L42" t="s">
        <v>439</v>
      </c>
      <c r="M42" t="s">
        <v>534</v>
      </c>
      <c r="N42" t="s">
        <v>534</v>
      </c>
      <c r="O42" t="s">
        <v>34</v>
      </c>
    </row>
    <row r="43" spans="1:15" x14ac:dyDescent="0.3">
      <c r="A43" t="s">
        <v>92</v>
      </c>
      <c r="B43" t="s">
        <v>13</v>
      </c>
      <c r="C43" s="25">
        <v>45684</v>
      </c>
      <c r="D43" t="s">
        <v>45</v>
      </c>
      <c r="E43" t="s">
        <v>51</v>
      </c>
      <c r="F43" t="s">
        <v>763</v>
      </c>
      <c r="G43" t="s">
        <v>658</v>
      </c>
      <c r="H43" t="s">
        <v>764</v>
      </c>
      <c r="I43" t="s">
        <v>765</v>
      </c>
      <c r="J43" t="s">
        <v>766</v>
      </c>
      <c r="K43" t="s">
        <v>767</v>
      </c>
      <c r="L43" t="s">
        <v>440</v>
      </c>
      <c r="M43" t="s">
        <v>441</v>
      </c>
      <c r="N43" t="s">
        <v>534</v>
      </c>
      <c r="O43" t="s">
        <v>34</v>
      </c>
    </row>
    <row r="44" spans="1:15" x14ac:dyDescent="0.3">
      <c r="A44" t="s">
        <v>94</v>
      </c>
      <c r="B44" t="s">
        <v>18</v>
      </c>
      <c r="C44" s="25">
        <v>45684</v>
      </c>
      <c r="D44" t="s">
        <v>53</v>
      </c>
      <c r="E44" t="s">
        <v>87</v>
      </c>
      <c r="F44" t="s">
        <v>768</v>
      </c>
      <c r="G44" t="s">
        <v>769</v>
      </c>
      <c r="H44" t="s">
        <v>770</v>
      </c>
      <c r="I44" t="s">
        <v>771</v>
      </c>
      <c r="J44" t="s">
        <v>772</v>
      </c>
      <c r="K44" t="s">
        <v>773</v>
      </c>
      <c r="L44" t="s">
        <v>438</v>
      </c>
      <c r="M44" t="s">
        <v>534</v>
      </c>
      <c r="N44" t="s">
        <v>534</v>
      </c>
      <c r="O44" t="s">
        <v>30</v>
      </c>
    </row>
    <row r="45" spans="1:15" x14ac:dyDescent="0.3">
      <c r="A45" t="s">
        <v>95</v>
      </c>
      <c r="B45" t="s">
        <v>23</v>
      </c>
      <c r="C45" s="25">
        <v>45622</v>
      </c>
      <c r="D45" t="s">
        <v>45</v>
      </c>
      <c r="E45" t="s">
        <v>78</v>
      </c>
      <c r="F45" t="s">
        <v>774</v>
      </c>
      <c r="G45" t="s">
        <v>775</v>
      </c>
      <c r="H45" t="s">
        <v>757</v>
      </c>
      <c r="I45" t="s">
        <v>776</v>
      </c>
      <c r="J45" t="s">
        <v>777</v>
      </c>
      <c r="K45" t="s">
        <v>778</v>
      </c>
      <c r="L45" t="s">
        <v>440</v>
      </c>
      <c r="M45" t="s">
        <v>534</v>
      </c>
      <c r="N45" t="s">
        <v>534</v>
      </c>
      <c r="O45" t="s">
        <v>34</v>
      </c>
    </row>
    <row r="46" spans="1:15" x14ac:dyDescent="0.3">
      <c r="A46" t="s">
        <v>96</v>
      </c>
      <c r="B46" t="s">
        <v>18</v>
      </c>
      <c r="C46" s="25">
        <v>45530</v>
      </c>
      <c r="D46" t="s">
        <v>24</v>
      </c>
      <c r="E46" t="s">
        <v>33</v>
      </c>
      <c r="F46" t="s">
        <v>779</v>
      </c>
      <c r="G46" t="s">
        <v>780</v>
      </c>
      <c r="H46" t="s">
        <v>781</v>
      </c>
      <c r="I46" t="s">
        <v>782</v>
      </c>
      <c r="J46" t="s">
        <v>783</v>
      </c>
      <c r="K46" t="s">
        <v>784</v>
      </c>
      <c r="L46" t="s">
        <v>438</v>
      </c>
      <c r="M46" t="s">
        <v>534</v>
      </c>
      <c r="N46" t="s">
        <v>534</v>
      </c>
      <c r="O46" t="s">
        <v>30</v>
      </c>
    </row>
    <row r="47" spans="1:15" x14ac:dyDescent="0.3">
      <c r="A47" t="s">
        <v>98</v>
      </c>
      <c r="B47" t="s">
        <v>18</v>
      </c>
      <c r="C47" s="25">
        <v>45530</v>
      </c>
      <c r="D47" t="s">
        <v>45</v>
      </c>
      <c r="E47" t="s">
        <v>46</v>
      </c>
      <c r="F47" t="s">
        <v>768</v>
      </c>
      <c r="G47" t="s">
        <v>785</v>
      </c>
      <c r="H47" t="s">
        <v>786</v>
      </c>
      <c r="I47" t="s">
        <v>787</v>
      </c>
      <c r="J47" t="s">
        <v>788</v>
      </c>
      <c r="K47" t="s">
        <v>789</v>
      </c>
      <c r="L47" t="s">
        <v>438</v>
      </c>
      <c r="M47" t="s">
        <v>534</v>
      </c>
      <c r="N47" t="s">
        <v>534</v>
      </c>
      <c r="O47" t="s">
        <v>30</v>
      </c>
    </row>
    <row r="48" spans="1:15" x14ac:dyDescent="0.3">
      <c r="A48" t="s">
        <v>99</v>
      </c>
      <c r="B48" t="s">
        <v>23</v>
      </c>
      <c r="C48" s="25">
        <v>45530</v>
      </c>
      <c r="D48" t="s">
        <v>20</v>
      </c>
      <c r="E48" t="s">
        <v>27</v>
      </c>
      <c r="F48" t="s">
        <v>790</v>
      </c>
      <c r="G48" t="s">
        <v>791</v>
      </c>
      <c r="H48" t="s">
        <v>792</v>
      </c>
      <c r="I48" t="s">
        <v>793</v>
      </c>
      <c r="J48" t="s">
        <v>794</v>
      </c>
      <c r="K48" t="s">
        <v>795</v>
      </c>
      <c r="L48" t="s">
        <v>440</v>
      </c>
      <c r="M48" t="s">
        <v>439</v>
      </c>
      <c r="N48" t="s">
        <v>442</v>
      </c>
      <c r="O48" t="s">
        <v>30</v>
      </c>
    </row>
    <row r="49" spans="1:15" x14ac:dyDescent="0.3">
      <c r="A49" t="s">
        <v>100</v>
      </c>
      <c r="B49" t="s">
        <v>38</v>
      </c>
      <c r="C49" s="25">
        <v>45499</v>
      </c>
      <c r="D49" t="s">
        <v>24</v>
      </c>
      <c r="E49" t="s">
        <v>85</v>
      </c>
      <c r="F49" t="s">
        <v>796</v>
      </c>
      <c r="G49" t="s">
        <v>599</v>
      </c>
      <c r="H49" t="s">
        <v>715</v>
      </c>
      <c r="I49" t="s">
        <v>797</v>
      </c>
      <c r="J49" t="s">
        <v>798</v>
      </c>
      <c r="K49" t="s">
        <v>799</v>
      </c>
      <c r="L49" t="s">
        <v>440</v>
      </c>
      <c r="M49" t="s">
        <v>534</v>
      </c>
      <c r="N49" t="s">
        <v>534</v>
      </c>
      <c r="O49" t="s">
        <v>28</v>
      </c>
    </row>
    <row r="50" spans="1:15" x14ac:dyDescent="0.3">
      <c r="A50" t="s">
        <v>101</v>
      </c>
      <c r="B50" t="s">
        <v>23</v>
      </c>
      <c r="C50" s="25">
        <v>45499</v>
      </c>
      <c r="D50" t="s">
        <v>20</v>
      </c>
      <c r="E50" t="s">
        <v>27</v>
      </c>
      <c r="F50" t="s">
        <v>800</v>
      </c>
      <c r="G50" t="s">
        <v>584</v>
      </c>
      <c r="H50" t="s">
        <v>801</v>
      </c>
      <c r="I50" t="s">
        <v>802</v>
      </c>
      <c r="J50" t="s">
        <v>803</v>
      </c>
      <c r="K50" t="s">
        <v>804</v>
      </c>
      <c r="L50" t="s">
        <v>440</v>
      </c>
      <c r="M50" t="s">
        <v>534</v>
      </c>
      <c r="N50" t="s">
        <v>534</v>
      </c>
      <c r="O50" t="s">
        <v>28</v>
      </c>
    </row>
    <row r="51" spans="1:15" x14ac:dyDescent="0.3">
      <c r="A51" t="s">
        <v>102</v>
      </c>
      <c r="B51" t="s">
        <v>13</v>
      </c>
      <c r="C51" s="25">
        <v>45469</v>
      </c>
      <c r="D51" t="s">
        <v>53</v>
      </c>
      <c r="E51" t="s">
        <v>54</v>
      </c>
      <c r="F51" t="s">
        <v>805</v>
      </c>
      <c r="G51" t="s">
        <v>806</v>
      </c>
      <c r="H51" t="s">
        <v>807</v>
      </c>
      <c r="I51" t="s">
        <v>808</v>
      </c>
      <c r="J51" t="s">
        <v>809</v>
      </c>
      <c r="K51" t="s">
        <v>810</v>
      </c>
      <c r="L51" t="s">
        <v>440</v>
      </c>
      <c r="M51" t="s">
        <v>439</v>
      </c>
      <c r="N51" t="s">
        <v>534</v>
      </c>
      <c r="O51" t="s">
        <v>28</v>
      </c>
    </row>
    <row r="52" spans="1:15" x14ac:dyDescent="0.3">
      <c r="A52" t="s">
        <v>103</v>
      </c>
      <c r="B52" t="s">
        <v>18</v>
      </c>
      <c r="C52" s="25">
        <v>45742</v>
      </c>
      <c r="D52" t="s">
        <v>45</v>
      </c>
      <c r="E52" t="s">
        <v>46</v>
      </c>
      <c r="F52" t="s">
        <v>811</v>
      </c>
      <c r="G52" t="s">
        <v>812</v>
      </c>
      <c r="H52" t="s">
        <v>813</v>
      </c>
      <c r="I52" t="s">
        <v>814</v>
      </c>
      <c r="J52" t="s">
        <v>815</v>
      </c>
      <c r="K52" t="s">
        <v>816</v>
      </c>
      <c r="L52" t="s">
        <v>439</v>
      </c>
      <c r="M52" t="s">
        <v>534</v>
      </c>
      <c r="N52" t="s">
        <v>534</v>
      </c>
      <c r="O52" t="s">
        <v>30</v>
      </c>
    </row>
    <row r="53" spans="1:15" x14ac:dyDescent="0.3">
      <c r="A53" t="s">
        <v>104</v>
      </c>
      <c r="B53" t="s">
        <v>18</v>
      </c>
      <c r="C53" s="25">
        <v>45621</v>
      </c>
      <c r="D53" t="s">
        <v>57</v>
      </c>
      <c r="E53" t="s">
        <v>106</v>
      </c>
      <c r="F53" t="s">
        <v>817</v>
      </c>
      <c r="G53" t="s">
        <v>773</v>
      </c>
      <c r="H53" t="s">
        <v>818</v>
      </c>
      <c r="I53" t="s">
        <v>819</v>
      </c>
      <c r="J53" t="s">
        <v>820</v>
      </c>
      <c r="K53" t="s">
        <v>821</v>
      </c>
      <c r="L53" t="s">
        <v>438</v>
      </c>
      <c r="M53" t="s">
        <v>534</v>
      </c>
      <c r="N53" t="s">
        <v>534</v>
      </c>
      <c r="O53" t="s">
        <v>16</v>
      </c>
    </row>
    <row r="54" spans="1:15" x14ac:dyDescent="0.3">
      <c r="A54" t="s">
        <v>107</v>
      </c>
      <c r="B54" t="s">
        <v>18</v>
      </c>
      <c r="C54" s="25">
        <v>45621</v>
      </c>
      <c r="D54" t="s">
        <v>24</v>
      </c>
      <c r="E54" t="s">
        <v>33</v>
      </c>
      <c r="F54" t="s">
        <v>822</v>
      </c>
      <c r="G54" t="s">
        <v>823</v>
      </c>
      <c r="H54" t="s">
        <v>824</v>
      </c>
      <c r="I54" t="s">
        <v>825</v>
      </c>
      <c r="J54" t="s">
        <v>826</v>
      </c>
      <c r="K54" t="s">
        <v>827</v>
      </c>
      <c r="L54" t="s">
        <v>439</v>
      </c>
      <c r="M54" t="s">
        <v>534</v>
      </c>
      <c r="N54" t="s">
        <v>534</v>
      </c>
    </row>
    <row r="55" spans="1:15" x14ac:dyDescent="0.3">
      <c r="A55" t="s">
        <v>108</v>
      </c>
      <c r="B55" t="s">
        <v>18</v>
      </c>
      <c r="C55" s="25">
        <v>45621</v>
      </c>
      <c r="D55" t="s">
        <v>57</v>
      </c>
      <c r="E55" t="s">
        <v>106</v>
      </c>
      <c r="F55" t="s">
        <v>828</v>
      </c>
      <c r="G55" t="s">
        <v>829</v>
      </c>
      <c r="H55" t="s">
        <v>546</v>
      </c>
      <c r="I55" t="s">
        <v>830</v>
      </c>
      <c r="J55" t="s">
        <v>831</v>
      </c>
      <c r="K55" t="s">
        <v>560</v>
      </c>
      <c r="L55" t="s">
        <v>439</v>
      </c>
      <c r="M55" t="s">
        <v>534</v>
      </c>
      <c r="N55" t="s">
        <v>534</v>
      </c>
      <c r="O55" t="s">
        <v>30</v>
      </c>
    </row>
    <row r="56" spans="1:15" x14ac:dyDescent="0.3">
      <c r="A56" t="s">
        <v>109</v>
      </c>
      <c r="B56" t="s">
        <v>13</v>
      </c>
      <c r="C56" s="25">
        <v>45590</v>
      </c>
      <c r="D56" t="s">
        <v>14</v>
      </c>
      <c r="E56" t="s">
        <v>15</v>
      </c>
      <c r="F56" t="s">
        <v>832</v>
      </c>
      <c r="G56" t="s">
        <v>833</v>
      </c>
      <c r="H56" t="s">
        <v>834</v>
      </c>
      <c r="I56" t="s">
        <v>835</v>
      </c>
      <c r="J56" t="s">
        <v>836</v>
      </c>
      <c r="K56" t="s">
        <v>724</v>
      </c>
      <c r="L56" t="s">
        <v>438</v>
      </c>
      <c r="M56" t="s">
        <v>534</v>
      </c>
      <c r="N56" t="s">
        <v>534</v>
      </c>
      <c r="O56" t="s">
        <v>30</v>
      </c>
    </row>
    <row r="57" spans="1:15" x14ac:dyDescent="0.3">
      <c r="A57" t="s">
        <v>110</v>
      </c>
      <c r="B57" t="s">
        <v>13</v>
      </c>
      <c r="C57" s="25">
        <v>45560</v>
      </c>
      <c r="D57" t="s">
        <v>14</v>
      </c>
      <c r="E57" t="s">
        <v>15</v>
      </c>
      <c r="F57" t="s">
        <v>837</v>
      </c>
      <c r="G57" t="s">
        <v>838</v>
      </c>
      <c r="H57" t="s">
        <v>839</v>
      </c>
      <c r="I57" t="s">
        <v>840</v>
      </c>
      <c r="J57" t="s">
        <v>841</v>
      </c>
      <c r="K57" t="s">
        <v>842</v>
      </c>
      <c r="L57" t="s">
        <v>438</v>
      </c>
      <c r="M57" t="s">
        <v>534</v>
      </c>
      <c r="N57" t="s">
        <v>534</v>
      </c>
      <c r="O57" t="s">
        <v>30</v>
      </c>
    </row>
    <row r="58" spans="1:15" x14ac:dyDescent="0.3">
      <c r="A58" t="s">
        <v>111</v>
      </c>
      <c r="B58" t="s">
        <v>23</v>
      </c>
      <c r="C58" s="25">
        <v>45741</v>
      </c>
      <c r="D58" t="s">
        <v>14</v>
      </c>
      <c r="E58" t="s">
        <v>112</v>
      </c>
      <c r="F58" t="s">
        <v>843</v>
      </c>
      <c r="G58" t="s">
        <v>844</v>
      </c>
      <c r="H58" t="s">
        <v>845</v>
      </c>
      <c r="I58" t="s">
        <v>846</v>
      </c>
      <c r="J58" t="s">
        <v>847</v>
      </c>
      <c r="K58" t="s">
        <v>848</v>
      </c>
      <c r="L58" t="s">
        <v>439</v>
      </c>
      <c r="M58" t="s">
        <v>534</v>
      </c>
      <c r="N58" t="s">
        <v>534</v>
      </c>
      <c r="O58" t="s">
        <v>16</v>
      </c>
    </row>
    <row r="59" spans="1:15" x14ac:dyDescent="0.3">
      <c r="A59" t="s">
        <v>113</v>
      </c>
      <c r="B59" t="s">
        <v>13</v>
      </c>
      <c r="C59" s="25">
        <v>45741</v>
      </c>
      <c r="D59" t="s">
        <v>57</v>
      </c>
      <c r="E59" t="s">
        <v>58</v>
      </c>
      <c r="F59" t="s">
        <v>849</v>
      </c>
      <c r="G59" t="s">
        <v>564</v>
      </c>
      <c r="H59" t="s">
        <v>850</v>
      </c>
      <c r="I59" t="s">
        <v>851</v>
      </c>
      <c r="J59" t="s">
        <v>852</v>
      </c>
      <c r="K59" t="s">
        <v>853</v>
      </c>
      <c r="L59" t="s">
        <v>438</v>
      </c>
      <c r="M59" t="s">
        <v>534</v>
      </c>
      <c r="N59" t="s">
        <v>534</v>
      </c>
      <c r="O59" t="s">
        <v>34</v>
      </c>
    </row>
    <row r="60" spans="1:15" x14ac:dyDescent="0.3">
      <c r="A60" t="s">
        <v>114</v>
      </c>
      <c r="B60" t="s">
        <v>38</v>
      </c>
      <c r="C60" s="25">
        <v>45713</v>
      </c>
      <c r="D60" t="s">
        <v>14</v>
      </c>
      <c r="E60" t="s">
        <v>43</v>
      </c>
      <c r="F60" t="s">
        <v>854</v>
      </c>
      <c r="G60" t="s">
        <v>855</v>
      </c>
      <c r="H60" t="s">
        <v>856</v>
      </c>
      <c r="I60" t="s">
        <v>857</v>
      </c>
      <c r="J60" t="s">
        <v>858</v>
      </c>
      <c r="K60" t="s">
        <v>601</v>
      </c>
      <c r="L60" t="s">
        <v>440</v>
      </c>
      <c r="M60" t="s">
        <v>534</v>
      </c>
      <c r="N60" t="s">
        <v>534</v>
      </c>
    </row>
    <row r="61" spans="1:15" x14ac:dyDescent="0.3">
      <c r="A61" t="s">
        <v>115</v>
      </c>
      <c r="B61" t="s">
        <v>23</v>
      </c>
      <c r="C61" s="25">
        <v>45650</v>
      </c>
      <c r="D61" t="s">
        <v>45</v>
      </c>
      <c r="E61" t="s">
        <v>78</v>
      </c>
      <c r="F61" t="s">
        <v>859</v>
      </c>
      <c r="G61" t="s">
        <v>860</v>
      </c>
      <c r="H61" t="s">
        <v>781</v>
      </c>
      <c r="I61" t="s">
        <v>861</v>
      </c>
      <c r="J61" t="s">
        <v>862</v>
      </c>
      <c r="K61" t="s">
        <v>863</v>
      </c>
      <c r="L61" t="s">
        <v>440</v>
      </c>
      <c r="M61" t="s">
        <v>534</v>
      </c>
      <c r="N61" t="s">
        <v>534</v>
      </c>
      <c r="O61" t="s">
        <v>34</v>
      </c>
    </row>
    <row r="62" spans="1:15" x14ac:dyDescent="0.3">
      <c r="A62" t="s">
        <v>116</v>
      </c>
      <c r="B62" t="s">
        <v>18</v>
      </c>
      <c r="C62" s="25">
        <v>45589</v>
      </c>
      <c r="D62" t="s">
        <v>24</v>
      </c>
      <c r="E62" t="s">
        <v>33</v>
      </c>
      <c r="F62" t="s">
        <v>864</v>
      </c>
      <c r="G62" t="s">
        <v>865</v>
      </c>
      <c r="H62" t="s">
        <v>866</v>
      </c>
      <c r="I62" t="s">
        <v>867</v>
      </c>
      <c r="J62" t="s">
        <v>868</v>
      </c>
      <c r="K62" t="s">
        <v>869</v>
      </c>
      <c r="L62" t="s">
        <v>439</v>
      </c>
      <c r="M62" t="s">
        <v>534</v>
      </c>
      <c r="N62" t="s">
        <v>534</v>
      </c>
      <c r="O62" t="s">
        <v>30</v>
      </c>
    </row>
    <row r="63" spans="1:15" x14ac:dyDescent="0.3">
      <c r="A63" t="s">
        <v>117</v>
      </c>
      <c r="B63" t="s">
        <v>18</v>
      </c>
      <c r="C63" s="25">
        <v>45589</v>
      </c>
      <c r="D63" t="s">
        <v>14</v>
      </c>
      <c r="E63" t="s">
        <v>36</v>
      </c>
      <c r="F63" t="s">
        <v>870</v>
      </c>
      <c r="G63" t="s">
        <v>871</v>
      </c>
      <c r="H63" t="s">
        <v>872</v>
      </c>
      <c r="I63" t="s">
        <v>873</v>
      </c>
      <c r="J63" t="s">
        <v>874</v>
      </c>
      <c r="K63" t="s">
        <v>875</v>
      </c>
      <c r="L63" t="s">
        <v>438</v>
      </c>
      <c r="M63" t="s">
        <v>534</v>
      </c>
      <c r="N63" t="s">
        <v>534</v>
      </c>
      <c r="O63" t="s">
        <v>28</v>
      </c>
    </row>
    <row r="64" spans="1:15" x14ac:dyDescent="0.3">
      <c r="A64" t="s">
        <v>118</v>
      </c>
      <c r="B64" t="s">
        <v>18</v>
      </c>
      <c r="C64" s="25">
        <v>45528</v>
      </c>
      <c r="D64" t="s">
        <v>20</v>
      </c>
      <c r="E64" t="s">
        <v>21</v>
      </c>
      <c r="F64" t="s">
        <v>876</v>
      </c>
      <c r="G64" t="s">
        <v>877</v>
      </c>
      <c r="H64" t="s">
        <v>878</v>
      </c>
      <c r="I64" t="s">
        <v>879</v>
      </c>
      <c r="J64" t="s">
        <v>880</v>
      </c>
      <c r="K64" t="s">
        <v>881</v>
      </c>
      <c r="L64" t="s">
        <v>440</v>
      </c>
      <c r="M64" t="s">
        <v>534</v>
      </c>
      <c r="N64" t="s">
        <v>534</v>
      </c>
      <c r="O64" t="s">
        <v>30</v>
      </c>
    </row>
    <row r="65" spans="1:15" x14ac:dyDescent="0.3">
      <c r="A65" t="s">
        <v>119</v>
      </c>
      <c r="B65" t="s">
        <v>23</v>
      </c>
      <c r="C65" s="25">
        <v>45528</v>
      </c>
      <c r="D65" t="s">
        <v>14</v>
      </c>
      <c r="E65" t="s">
        <v>112</v>
      </c>
      <c r="F65" t="s">
        <v>882</v>
      </c>
      <c r="G65" t="s">
        <v>848</v>
      </c>
      <c r="H65" t="s">
        <v>883</v>
      </c>
      <c r="I65" t="s">
        <v>884</v>
      </c>
      <c r="J65" t="s">
        <v>885</v>
      </c>
      <c r="K65" t="s">
        <v>875</v>
      </c>
      <c r="L65" t="s">
        <v>439</v>
      </c>
      <c r="M65" t="s">
        <v>534</v>
      </c>
      <c r="N65" t="s">
        <v>534</v>
      </c>
    </row>
    <row r="66" spans="1:15" x14ac:dyDescent="0.3">
      <c r="A66" t="s">
        <v>120</v>
      </c>
      <c r="B66" t="s">
        <v>38</v>
      </c>
      <c r="C66" s="25">
        <v>45497</v>
      </c>
      <c r="D66" t="s">
        <v>24</v>
      </c>
      <c r="E66" t="s">
        <v>85</v>
      </c>
      <c r="F66" t="s">
        <v>886</v>
      </c>
      <c r="G66" t="s">
        <v>630</v>
      </c>
      <c r="H66" t="s">
        <v>887</v>
      </c>
      <c r="I66" t="s">
        <v>888</v>
      </c>
      <c r="J66" t="s">
        <v>889</v>
      </c>
      <c r="K66" t="s">
        <v>681</v>
      </c>
      <c r="L66" t="s">
        <v>438</v>
      </c>
      <c r="M66" t="s">
        <v>439</v>
      </c>
      <c r="N66" t="s">
        <v>442</v>
      </c>
      <c r="O66" t="s">
        <v>30</v>
      </c>
    </row>
    <row r="67" spans="1:15" x14ac:dyDescent="0.3">
      <c r="A67" t="s">
        <v>121</v>
      </c>
      <c r="B67" t="s">
        <v>23</v>
      </c>
      <c r="C67" s="25">
        <v>45467</v>
      </c>
      <c r="D67" t="s">
        <v>20</v>
      </c>
      <c r="E67" t="s">
        <v>27</v>
      </c>
      <c r="F67" t="s">
        <v>890</v>
      </c>
      <c r="G67" t="s">
        <v>651</v>
      </c>
      <c r="H67" t="s">
        <v>891</v>
      </c>
      <c r="I67" t="s">
        <v>892</v>
      </c>
      <c r="J67" t="s">
        <v>893</v>
      </c>
      <c r="K67" t="s">
        <v>894</v>
      </c>
      <c r="L67" t="s">
        <v>439</v>
      </c>
      <c r="M67" t="s">
        <v>534</v>
      </c>
      <c r="N67" t="s">
        <v>534</v>
      </c>
      <c r="O67" t="s">
        <v>16</v>
      </c>
    </row>
    <row r="68" spans="1:15" x14ac:dyDescent="0.3">
      <c r="A68" t="s">
        <v>123</v>
      </c>
      <c r="B68" t="s">
        <v>23</v>
      </c>
      <c r="C68" s="25">
        <v>45467</v>
      </c>
      <c r="D68" t="s">
        <v>45</v>
      </c>
      <c r="E68" t="s">
        <v>78</v>
      </c>
      <c r="F68" t="s">
        <v>895</v>
      </c>
      <c r="G68" t="s">
        <v>896</v>
      </c>
      <c r="H68" t="s">
        <v>897</v>
      </c>
      <c r="I68" t="s">
        <v>898</v>
      </c>
      <c r="J68" t="s">
        <v>899</v>
      </c>
      <c r="K68" t="s">
        <v>789</v>
      </c>
      <c r="L68" t="s">
        <v>440</v>
      </c>
      <c r="M68" t="s">
        <v>534</v>
      </c>
      <c r="N68" t="s">
        <v>534</v>
      </c>
      <c r="O68" t="s">
        <v>28</v>
      </c>
    </row>
    <row r="69" spans="1:15" x14ac:dyDescent="0.3">
      <c r="A69" t="s">
        <v>124</v>
      </c>
      <c r="B69" t="s">
        <v>13</v>
      </c>
      <c r="C69" s="25">
        <v>45467</v>
      </c>
      <c r="D69" t="s">
        <v>14</v>
      </c>
      <c r="E69" t="s">
        <v>15</v>
      </c>
      <c r="F69" t="s">
        <v>900</v>
      </c>
      <c r="G69" t="s">
        <v>699</v>
      </c>
      <c r="H69" t="s">
        <v>567</v>
      </c>
      <c r="I69" t="s">
        <v>901</v>
      </c>
      <c r="J69" t="s">
        <v>902</v>
      </c>
      <c r="K69" t="s">
        <v>903</v>
      </c>
      <c r="L69" t="s">
        <v>439</v>
      </c>
      <c r="M69" t="s">
        <v>534</v>
      </c>
      <c r="N69" t="s">
        <v>534</v>
      </c>
      <c r="O69" t="s">
        <v>16</v>
      </c>
    </row>
    <row r="70" spans="1:15" x14ac:dyDescent="0.3">
      <c r="A70" t="s">
        <v>125</v>
      </c>
      <c r="B70" t="s">
        <v>23</v>
      </c>
      <c r="C70" s="25">
        <v>45771</v>
      </c>
      <c r="D70" t="s">
        <v>53</v>
      </c>
      <c r="E70" t="s">
        <v>83</v>
      </c>
      <c r="F70" t="s">
        <v>904</v>
      </c>
      <c r="G70" t="s">
        <v>905</v>
      </c>
      <c r="H70" t="s">
        <v>903</v>
      </c>
      <c r="I70" t="s">
        <v>906</v>
      </c>
      <c r="J70" t="s">
        <v>907</v>
      </c>
      <c r="K70" t="s">
        <v>908</v>
      </c>
      <c r="L70" t="s">
        <v>439</v>
      </c>
      <c r="M70" t="s">
        <v>534</v>
      </c>
      <c r="N70" t="s">
        <v>534</v>
      </c>
      <c r="O70" t="s">
        <v>28</v>
      </c>
    </row>
    <row r="71" spans="1:15" x14ac:dyDescent="0.3">
      <c r="A71" t="s">
        <v>126</v>
      </c>
      <c r="B71" t="s">
        <v>23</v>
      </c>
      <c r="C71" s="25">
        <v>45771</v>
      </c>
      <c r="D71" t="s">
        <v>14</v>
      </c>
      <c r="E71" t="s">
        <v>112</v>
      </c>
      <c r="F71" t="s">
        <v>909</v>
      </c>
      <c r="G71" t="s">
        <v>910</v>
      </c>
      <c r="H71" t="s">
        <v>911</v>
      </c>
      <c r="I71" t="s">
        <v>912</v>
      </c>
      <c r="J71" t="s">
        <v>913</v>
      </c>
      <c r="K71" t="s">
        <v>584</v>
      </c>
      <c r="L71" t="s">
        <v>439</v>
      </c>
      <c r="M71" t="s">
        <v>425</v>
      </c>
      <c r="N71" t="s">
        <v>534</v>
      </c>
      <c r="O71" t="s">
        <v>34</v>
      </c>
    </row>
    <row r="72" spans="1:15" x14ac:dyDescent="0.3">
      <c r="A72" t="s">
        <v>127</v>
      </c>
      <c r="B72" t="s">
        <v>18</v>
      </c>
      <c r="C72" s="25">
        <v>45740</v>
      </c>
      <c r="D72" t="s">
        <v>53</v>
      </c>
      <c r="E72" t="s">
        <v>87</v>
      </c>
      <c r="F72" t="s">
        <v>914</v>
      </c>
      <c r="G72" t="s">
        <v>915</v>
      </c>
      <c r="H72" t="s">
        <v>916</v>
      </c>
      <c r="I72" t="s">
        <v>917</v>
      </c>
      <c r="J72" t="s">
        <v>918</v>
      </c>
      <c r="K72" t="s">
        <v>791</v>
      </c>
      <c r="L72" t="s">
        <v>439</v>
      </c>
      <c r="M72" t="s">
        <v>534</v>
      </c>
      <c r="N72" t="s">
        <v>534</v>
      </c>
      <c r="O72" t="s">
        <v>28</v>
      </c>
    </row>
    <row r="73" spans="1:15" x14ac:dyDescent="0.3">
      <c r="A73" t="s">
        <v>129</v>
      </c>
      <c r="B73" t="s">
        <v>18</v>
      </c>
      <c r="C73" s="25">
        <v>45740</v>
      </c>
      <c r="D73" t="s">
        <v>24</v>
      </c>
      <c r="E73" t="s">
        <v>33</v>
      </c>
      <c r="F73" t="s">
        <v>919</v>
      </c>
      <c r="G73" t="s">
        <v>920</v>
      </c>
      <c r="H73" t="s">
        <v>813</v>
      </c>
      <c r="I73" t="s">
        <v>921</v>
      </c>
      <c r="J73" t="s">
        <v>922</v>
      </c>
      <c r="K73" t="s">
        <v>923</v>
      </c>
      <c r="L73" t="s">
        <v>440</v>
      </c>
      <c r="M73" t="s">
        <v>534</v>
      </c>
      <c r="N73" t="s">
        <v>534</v>
      </c>
      <c r="O73" t="s">
        <v>34</v>
      </c>
    </row>
    <row r="74" spans="1:15" x14ac:dyDescent="0.3">
      <c r="A74" t="s">
        <v>130</v>
      </c>
      <c r="B74" t="s">
        <v>23</v>
      </c>
      <c r="C74" s="25">
        <v>45712</v>
      </c>
      <c r="D74" t="s">
        <v>20</v>
      </c>
      <c r="E74" t="s">
        <v>27</v>
      </c>
      <c r="F74" t="s">
        <v>924</v>
      </c>
      <c r="G74" t="s">
        <v>925</v>
      </c>
      <c r="H74" t="s">
        <v>926</v>
      </c>
      <c r="I74" t="s">
        <v>927</v>
      </c>
      <c r="J74" t="s">
        <v>928</v>
      </c>
      <c r="K74" t="s">
        <v>654</v>
      </c>
      <c r="L74" t="s">
        <v>438</v>
      </c>
      <c r="M74" t="s">
        <v>534</v>
      </c>
      <c r="N74" t="s">
        <v>534</v>
      </c>
    </row>
    <row r="75" spans="1:15" x14ac:dyDescent="0.3">
      <c r="A75" t="s">
        <v>132</v>
      </c>
      <c r="B75" t="s">
        <v>13</v>
      </c>
      <c r="C75" s="25">
        <v>45712</v>
      </c>
      <c r="D75" t="s">
        <v>20</v>
      </c>
      <c r="E75" t="s">
        <v>41</v>
      </c>
      <c r="F75" t="s">
        <v>929</v>
      </c>
      <c r="G75" t="s">
        <v>930</v>
      </c>
      <c r="H75" t="s">
        <v>931</v>
      </c>
      <c r="I75" t="s">
        <v>932</v>
      </c>
      <c r="J75" t="s">
        <v>933</v>
      </c>
      <c r="K75" t="s">
        <v>934</v>
      </c>
      <c r="L75" t="s">
        <v>440</v>
      </c>
      <c r="M75" t="s">
        <v>441</v>
      </c>
      <c r="N75" t="s">
        <v>534</v>
      </c>
    </row>
    <row r="76" spans="1:15" x14ac:dyDescent="0.3">
      <c r="A76" t="s">
        <v>133</v>
      </c>
      <c r="B76" t="s">
        <v>13</v>
      </c>
      <c r="C76" s="25">
        <v>45712</v>
      </c>
      <c r="D76" t="s">
        <v>45</v>
      </c>
      <c r="E76" t="s">
        <v>51</v>
      </c>
      <c r="F76" t="s">
        <v>935</v>
      </c>
      <c r="G76" t="s">
        <v>936</v>
      </c>
      <c r="H76" t="s">
        <v>578</v>
      </c>
      <c r="I76" t="s">
        <v>937</v>
      </c>
      <c r="J76" t="s">
        <v>938</v>
      </c>
      <c r="K76" t="s">
        <v>939</v>
      </c>
      <c r="L76" t="s">
        <v>438</v>
      </c>
      <c r="M76" t="s">
        <v>534</v>
      </c>
      <c r="N76" t="s">
        <v>534</v>
      </c>
    </row>
    <row r="77" spans="1:15" x14ac:dyDescent="0.3">
      <c r="A77" t="s">
        <v>134</v>
      </c>
      <c r="B77" t="s">
        <v>38</v>
      </c>
      <c r="C77" s="25">
        <v>45649</v>
      </c>
      <c r="D77" t="s">
        <v>24</v>
      </c>
      <c r="E77" t="s">
        <v>85</v>
      </c>
      <c r="F77" t="s">
        <v>940</v>
      </c>
      <c r="G77" t="s">
        <v>941</v>
      </c>
      <c r="H77" t="s">
        <v>942</v>
      </c>
      <c r="I77" t="s">
        <v>943</v>
      </c>
      <c r="J77" t="s">
        <v>944</v>
      </c>
      <c r="K77" t="s">
        <v>778</v>
      </c>
      <c r="L77" t="s">
        <v>438</v>
      </c>
      <c r="M77" t="s">
        <v>534</v>
      </c>
      <c r="N77" t="s">
        <v>534</v>
      </c>
      <c r="O77" t="s">
        <v>16</v>
      </c>
    </row>
    <row r="78" spans="1:15" x14ac:dyDescent="0.3">
      <c r="A78" t="s">
        <v>136</v>
      </c>
      <c r="B78" t="s">
        <v>23</v>
      </c>
      <c r="C78" s="25">
        <v>45649</v>
      </c>
      <c r="D78" t="s">
        <v>53</v>
      </c>
      <c r="E78" t="s">
        <v>83</v>
      </c>
      <c r="F78" t="s">
        <v>945</v>
      </c>
      <c r="G78" t="s">
        <v>804</v>
      </c>
      <c r="H78" t="s">
        <v>838</v>
      </c>
      <c r="I78" t="s">
        <v>946</v>
      </c>
      <c r="J78" t="s">
        <v>947</v>
      </c>
      <c r="K78" t="s">
        <v>948</v>
      </c>
      <c r="L78" t="s">
        <v>438</v>
      </c>
      <c r="M78" t="s">
        <v>442</v>
      </c>
      <c r="N78" t="s">
        <v>534</v>
      </c>
      <c r="O78" t="s">
        <v>28</v>
      </c>
    </row>
    <row r="79" spans="1:15" x14ac:dyDescent="0.3">
      <c r="A79" t="s">
        <v>137</v>
      </c>
      <c r="B79" t="s">
        <v>13</v>
      </c>
      <c r="C79" s="25">
        <v>45619</v>
      </c>
      <c r="D79" t="s">
        <v>24</v>
      </c>
      <c r="E79" t="s">
        <v>138</v>
      </c>
      <c r="F79" t="s">
        <v>949</v>
      </c>
      <c r="G79" t="s">
        <v>821</v>
      </c>
      <c r="H79" t="s">
        <v>950</v>
      </c>
      <c r="I79" t="s">
        <v>951</v>
      </c>
      <c r="J79" t="s">
        <v>952</v>
      </c>
      <c r="K79" t="s">
        <v>953</v>
      </c>
      <c r="L79" t="s">
        <v>439</v>
      </c>
      <c r="M79" t="s">
        <v>534</v>
      </c>
      <c r="N79" t="s">
        <v>534</v>
      </c>
      <c r="O79" t="s">
        <v>16</v>
      </c>
    </row>
    <row r="80" spans="1:15" x14ac:dyDescent="0.3">
      <c r="A80" t="s">
        <v>139</v>
      </c>
      <c r="B80" t="s">
        <v>13</v>
      </c>
      <c r="C80" s="25">
        <v>45496</v>
      </c>
      <c r="D80" t="s">
        <v>57</v>
      </c>
      <c r="E80" t="s">
        <v>58</v>
      </c>
      <c r="F80" t="s">
        <v>954</v>
      </c>
      <c r="G80" t="s">
        <v>570</v>
      </c>
      <c r="H80" t="s">
        <v>955</v>
      </c>
      <c r="I80" t="s">
        <v>956</v>
      </c>
      <c r="J80" t="s">
        <v>957</v>
      </c>
      <c r="K80" t="s">
        <v>659</v>
      </c>
      <c r="L80" t="s">
        <v>438</v>
      </c>
      <c r="M80" t="s">
        <v>534</v>
      </c>
      <c r="N80" t="s">
        <v>534</v>
      </c>
      <c r="O80" t="s">
        <v>16</v>
      </c>
    </row>
    <row r="81" spans="1:15" x14ac:dyDescent="0.3">
      <c r="A81" t="s">
        <v>140</v>
      </c>
      <c r="B81" t="s">
        <v>38</v>
      </c>
      <c r="C81" s="25">
        <v>45466</v>
      </c>
      <c r="D81" t="s">
        <v>14</v>
      </c>
      <c r="E81" t="s">
        <v>43</v>
      </c>
      <c r="F81" t="s">
        <v>958</v>
      </c>
      <c r="G81" t="s">
        <v>959</v>
      </c>
      <c r="H81" t="s">
        <v>628</v>
      </c>
      <c r="I81" t="s">
        <v>960</v>
      </c>
      <c r="J81" t="s">
        <v>961</v>
      </c>
      <c r="K81" t="s">
        <v>908</v>
      </c>
      <c r="L81" t="s">
        <v>439</v>
      </c>
      <c r="M81" t="s">
        <v>534</v>
      </c>
      <c r="N81" t="s">
        <v>534</v>
      </c>
      <c r="O81" t="s">
        <v>34</v>
      </c>
    </row>
    <row r="82" spans="1:15" x14ac:dyDescent="0.3">
      <c r="A82" t="s">
        <v>141</v>
      </c>
      <c r="B82" t="s">
        <v>18</v>
      </c>
      <c r="C82" s="25">
        <v>45739</v>
      </c>
      <c r="D82" t="s">
        <v>14</v>
      </c>
      <c r="E82" t="s">
        <v>36</v>
      </c>
      <c r="F82" t="s">
        <v>962</v>
      </c>
      <c r="G82" t="s">
        <v>963</v>
      </c>
      <c r="H82" t="s">
        <v>964</v>
      </c>
      <c r="I82" t="s">
        <v>965</v>
      </c>
      <c r="J82" t="s">
        <v>966</v>
      </c>
      <c r="K82" t="s">
        <v>967</v>
      </c>
      <c r="L82" t="s">
        <v>439</v>
      </c>
      <c r="M82" t="s">
        <v>534</v>
      </c>
      <c r="N82" t="s">
        <v>534</v>
      </c>
    </row>
    <row r="83" spans="1:15" x14ac:dyDescent="0.3">
      <c r="A83" t="s">
        <v>142</v>
      </c>
      <c r="B83" t="s">
        <v>13</v>
      </c>
      <c r="C83" s="25">
        <v>45739</v>
      </c>
      <c r="D83" t="s">
        <v>57</v>
      </c>
      <c r="E83" t="s">
        <v>58</v>
      </c>
      <c r="F83" t="s">
        <v>968</v>
      </c>
      <c r="G83" t="s">
        <v>653</v>
      </c>
      <c r="H83" t="s">
        <v>866</v>
      </c>
      <c r="I83" t="s">
        <v>969</v>
      </c>
      <c r="J83" t="s">
        <v>970</v>
      </c>
      <c r="K83" t="s">
        <v>971</v>
      </c>
      <c r="L83" t="s">
        <v>439</v>
      </c>
      <c r="M83" t="s">
        <v>534</v>
      </c>
      <c r="N83" t="s">
        <v>534</v>
      </c>
      <c r="O83" t="s">
        <v>30</v>
      </c>
    </row>
    <row r="84" spans="1:15" x14ac:dyDescent="0.3">
      <c r="A84" t="s">
        <v>143</v>
      </c>
      <c r="B84" t="s">
        <v>18</v>
      </c>
      <c r="C84" s="25">
        <v>45680</v>
      </c>
      <c r="D84" t="s">
        <v>14</v>
      </c>
      <c r="E84" t="s">
        <v>36</v>
      </c>
      <c r="F84" t="s">
        <v>972</v>
      </c>
      <c r="G84" t="s">
        <v>973</v>
      </c>
      <c r="H84" t="s">
        <v>598</v>
      </c>
      <c r="I84" t="s">
        <v>974</v>
      </c>
      <c r="J84" t="s">
        <v>975</v>
      </c>
      <c r="K84" t="s">
        <v>976</v>
      </c>
      <c r="L84" t="s">
        <v>438</v>
      </c>
      <c r="M84" t="s">
        <v>534</v>
      </c>
      <c r="N84" t="s">
        <v>534</v>
      </c>
      <c r="O84" t="s">
        <v>30</v>
      </c>
    </row>
    <row r="85" spans="1:15" x14ac:dyDescent="0.3">
      <c r="A85" t="s">
        <v>144</v>
      </c>
      <c r="B85" t="s">
        <v>18</v>
      </c>
      <c r="C85" s="25">
        <v>45648</v>
      </c>
      <c r="D85" t="s">
        <v>24</v>
      </c>
      <c r="E85" t="s">
        <v>33</v>
      </c>
      <c r="F85" t="s">
        <v>977</v>
      </c>
      <c r="G85" t="s">
        <v>895</v>
      </c>
      <c r="H85" t="s">
        <v>978</v>
      </c>
      <c r="I85" t="s">
        <v>979</v>
      </c>
      <c r="J85" t="s">
        <v>980</v>
      </c>
      <c r="K85" t="s">
        <v>718</v>
      </c>
      <c r="L85" t="s">
        <v>439</v>
      </c>
      <c r="M85" t="s">
        <v>534</v>
      </c>
      <c r="N85" t="s">
        <v>534</v>
      </c>
      <c r="O85" t="s">
        <v>30</v>
      </c>
    </row>
    <row r="86" spans="1:15" x14ac:dyDescent="0.3">
      <c r="A86" t="s">
        <v>145</v>
      </c>
      <c r="B86" t="s">
        <v>23</v>
      </c>
      <c r="C86" s="25">
        <v>45648</v>
      </c>
      <c r="D86" t="s">
        <v>53</v>
      </c>
      <c r="E86" t="s">
        <v>83</v>
      </c>
      <c r="F86" t="s">
        <v>981</v>
      </c>
      <c r="G86" t="s">
        <v>982</v>
      </c>
      <c r="H86" t="s">
        <v>679</v>
      </c>
      <c r="I86" t="s">
        <v>983</v>
      </c>
      <c r="J86" t="s">
        <v>984</v>
      </c>
      <c r="K86" t="s">
        <v>985</v>
      </c>
      <c r="L86" t="s">
        <v>440</v>
      </c>
      <c r="M86" t="s">
        <v>534</v>
      </c>
      <c r="N86" t="s">
        <v>534</v>
      </c>
      <c r="O86" t="s">
        <v>30</v>
      </c>
    </row>
    <row r="87" spans="1:15" x14ac:dyDescent="0.3">
      <c r="A87" t="s">
        <v>146</v>
      </c>
      <c r="B87" t="s">
        <v>23</v>
      </c>
      <c r="C87" s="25">
        <v>45618</v>
      </c>
      <c r="D87" t="s">
        <v>20</v>
      </c>
      <c r="E87" t="s">
        <v>27</v>
      </c>
      <c r="F87" t="s">
        <v>709</v>
      </c>
      <c r="G87" t="s">
        <v>986</v>
      </c>
      <c r="H87" t="s">
        <v>543</v>
      </c>
      <c r="I87" t="s">
        <v>987</v>
      </c>
      <c r="J87" t="s">
        <v>988</v>
      </c>
      <c r="K87" t="s">
        <v>989</v>
      </c>
      <c r="L87" t="s">
        <v>439</v>
      </c>
      <c r="M87" t="s">
        <v>534</v>
      </c>
      <c r="N87" t="s">
        <v>534</v>
      </c>
      <c r="O87" t="s">
        <v>30</v>
      </c>
    </row>
    <row r="88" spans="1:15" x14ac:dyDescent="0.3">
      <c r="A88" t="s">
        <v>147</v>
      </c>
      <c r="B88" t="s">
        <v>18</v>
      </c>
      <c r="C88" s="25">
        <v>45587</v>
      </c>
      <c r="D88" t="s">
        <v>20</v>
      </c>
      <c r="E88" t="s">
        <v>21</v>
      </c>
      <c r="F88" t="s">
        <v>990</v>
      </c>
      <c r="G88" t="s">
        <v>895</v>
      </c>
      <c r="H88" t="s">
        <v>636</v>
      </c>
      <c r="I88" t="s">
        <v>991</v>
      </c>
      <c r="J88" t="s">
        <v>992</v>
      </c>
      <c r="K88" t="s">
        <v>546</v>
      </c>
      <c r="L88" t="s">
        <v>438</v>
      </c>
      <c r="M88" t="s">
        <v>534</v>
      </c>
      <c r="N88" t="s">
        <v>534</v>
      </c>
      <c r="O88" t="s">
        <v>16</v>
      </c>
    </row>
    <row r="89" spans="1:15" x14ac:dyDescent="0.3">
      <c r="A89" t="s">
        <v>148</v>
      </c>
      <c r="B89" t="s">
        <v>38</v>
      </c>
      <c r="C89" s="25">
        <v>45587</v>
      </c>
      <c r="D89" t="s">
        <v>57</v>
      </c>
      <c r="E89" t="s">
        <v>62</v>
      </c>
      <c r="F89" t="s">
        <v>993</v>
      </c>
      <c r="G89" t="s">
        <v>994</v>
      </c>
      <c r="H89" t="s">
        <v>610</v>
      </c>
      <c r="I89" t="s">
        <v>995</v>
      </c>
      <c r="J89" t="s">
        <v>996</v>
      </c>
      <c r="K89" t="s">
        <v>997</v>
      </c>
      <c r="L89" t="s">
        <v>438</v>
      </c>
      <c r="M89" t="s">
        <v>534</v>
      </c>
      <c r="N89" t="s">
        <v>534</v>
      </c>
      <c r="O89" t="s">
        <v>28</v>
      </c>
    </row>
    <row r="90" spans="1:15" x14ac:dyDescent="0.3">
      <c r="A90" t="s">
        <v>149</v>
      </c>
      <c r="B90" t="s">
        <v>23</v>
      </c>
      <c r="C90" s="25">
        <v>45587</v>
      </c>
      <c r="D90" t="s">
        <v>53</v>
      </c>
      <c r="E90" t="s">
        <v>83</v>
      </c>
      <c r="F90" t="s">
        <v>998</v>
      </c>
      <c r="G90" t="s">
        <v>999</v>
      </c>
      <c r="H90" t="s">
        <v>1000</v>
      </c>
      <c r="I90" t="s">
        <v>1001</v>
      </c>
      <c r="J90" t="s">
        <v>1002</v>
      </c>
      <c r="K90" t="s">
        <v>1003</v>
      </c>
      <c r="L90" t="s">
        <v>440</v>
      </c>
      <c r="M90" t="s">
        <v>534</v>
      </c>
      <c r="N90" t="s">
        <v>534</v>
      </c>
      <c r="O90" t="s">
        <v>28</v>
      </c>
    </row>
    <row r="91" spans="1:15" x14ac:dyDescent="0.3">
      <c r="A91" t="s">
        <v>150</v>
      </c>
      <c r="B91" t="s">
        <v>13</v>
      </c>
      <c r="C91" s="25">
        <v>45526</v>
      </c>
      <c r="D91" t="s">
        <v>20</v>
      </c>
      <c r="E91" t="s">
        <v>41</v>
      </c>
      <c r="F91" t="s">
        <v>1004</v>
      </c>
      <c r="G91" t="s">
        <v>1005</v>
      </c>
      <c r="H91" t="s">
        <v>1006</v>
      </c>
      <c r="I91" t="s">
        <v>1007</v>
      </c>
      <c r="J91" t="s">
        <v>1008</v>
      </c>
      <c r="K91" t="s">
        <v>1009</v>
      </c>
      <c r="L91" t="s">
        <v>439</v>
      </c>
      <c r="M91" t="s">
        <v>534</v>
      </c>
      <c r="N91" t="s">
        <v>534</v>
      </c>
      <c r="O91" t="s">
        <v>34</v>
      </c>
    </row>
    <row r="92" spans="1:15" x14ac:dyDescent="0.3">
      <c r="A92" t="s">
        <v>151</v>
      </c>
      <c r="B92" t="s">
        <v>18</v>
      </c>
      <c r="C92" s="25">
        <v>45465</v>
      </c>
      <c r="D92" t="s">
        <v>45</v>
      </c>
      <c r="E92" t="s">
        <v>46</v>
      </c>
      <c r="F92" t="s">
        <v>1010</v>
      </c>
      <c r="G92" t="s">
        <v>989</v>
      </c>
      <c r="H92" t="s">
        <v>665</v>
      </c>
      <c r="I92" t="s">
        <v>1011</v>
      </c>
      <c r="J92" t="s">
        <v>1012</v>
      </c>
      <c r="K92" t="s">
        <v>894</v>
      </c>
      <c r="L92" t="s">
        <v>440</v>
      </c>
      <c r="M92" t="s">
        <v>534</v>
      </c>
      <c r="N92" t="s">
        <v>534</v>
      </c>
    </row>
    <row r="93" spans="1:15" x14ac:dyDescent="0.3">
      <c r="A93" t="s">
        <v>152</v>
      </c>
      <c r="B93" t="s">
        <v>18</v>
      </c>
      <c r="C93" s="25">
        <v>45465</v>
      </c>
      <c r="D93" t="s">
        <v>53</v>
      </c>
      <c r="E93" t="s">
        <v>87</v>
      </c>
      <c r="F93" t="s">
        <v>1013</v>
      </c>
      <c r="G93" t="s">
        <v>833</v>
      </c>
      <c r="H93" t="s">
        <v>1014</v>
      </c>
      <c r="I93" t="s">
        <v>1015</v>
      </c>
      <c r="J93" t="s">
        <v>1016</v>
      </c>
      <c r="K93" t="s">
        <v>697</v>
      </c>
      <c r="L93" t="s">
        <v>438</v>
      </c>
      <c r="M93" t="s">
        <v>534</v>
      </c>
      <c r="N93" t="s">
        <v>534</v>
      </c>
    </row>
    <row r="94" spans="1:15" x14ac:dyDescent="0.3">
      <c r="A94" t="s">
        <v>153</v>
      </c>
      <c r="B94" t="s">
        <v>38</v>
      </c>
      <c r="C94" s="25">
        <v>45465</v>
      </c>
      <c r="D94" t="s">
        <v>45</v>
      </c>
      <c r="E94" t="s">
        <v>70</v>
      </c>
      <c r="F94" t="s">
        <v>1017</v>
      </c>
      <c r="G94" t="s">
        <v>1018</v>
      </c>
      <c r="H94" t="s">
        <v>749</v>
      </c>
      <c r="I94" t="s">
        <v>1019</v>
      </c>
      <c r="J94" t="s">
        <v>1020</v>
      </c>
      <c r="K94" t="s">
        <v>682</v>
      </c>
      <c r="L94" t="s">
        <v>440</v>
      </c>
      <c r="M94" t="s">
        <v>534</v>
      </c>
      <c r="N94" t="s">
        <v>534</v>
      </c>
    </row>
    <row r="95" spans="1:15" x14ac:dyDescent="0.3">
      <c r="A95" t="s">
        <v>154</v>
      </c>
      <c r="B95" t="s">
        <v>18</v>
      </c>
      <c r="C95" s="25">
        <v>45769</v>
      </c>
      <c r="D95" t="s">
        <v>24</v>
      </c>
      <c r="E95" t="s">
        <v>33</v>
      </c>
      <c r="F95" t="s">
        <v>1021</v>
      </c>
      <c r="G95" t="s">
        <v>1022</v>
      </c>
      <c r="H95" t="s">
        <v>639</v>
      </c>
      <c r="I95" t="s">
        <v>1023</v>
      </c>
      <c r="J95" t="s">
        <v>1024</v>
      </c>
      <c r="K95" t="s">
        <v>1025</v>
      </c>
      <c r="L95" t="s">
        <v>440</v>
      </c>
      <c r="M95" t="s">
        <v>534</v>
      </c>
      <c r="N95" t="s">
        <v>534</v>
      </c>
      <c r="O95" t="s">
        <v>34</v>
      </c>
    </row>
    <row r="96" spans="1:15" x14ac:dyDescent="0.3">
      <c r="A96" t="s">
        <v>155</v>
      </c>
      <c r="B96" t="s">
        <v>13</v>
      </c>
      <c r="C96" s="25">
        <v>45738</v>
      </c>
      <c r="D96" t="s">
        <v>24</v>
      </c>
      <c r="E96" t="s">
        <v>138</v>
      </c>
      <c r="F96" t="s">
        <v>1026</v>
      </c>
      <c r="G96" t="s">
        <v>1027</v>
      </c>
      <c r="H96" t="s">
        <v>1028</v>
      </c>
      <c r="I96" t="s">
        <v>1029</v>
      </c>
      <c r="J96" t="s">
        <v>1030</v>
      </c>
      <c r="K96" t="s">
        <v>903</v>
      </c>
      <c r="L96" t="s">
        <v>440</v>
      </c>
      <c r="M96" t="s">
        <v>534</v>
      </c>
      <c r="N96" t="s">
        <v>534</v>
      </c>
      <c r="O96" t="s">
        <v>16</v>
      </c>
    </row>
    <row r="97" spans="1:15" x14ac:dyDescent="0.3">
      <c r="A97" t="s">
        <v>156</v>
      </c>
      <c r="B97" t="s">
        <v>13</v>
      </c>
      <c r="C97" s="25">
        <v>45647</v>
      </c>
      <c r="D97" t="s">
        <v>24</v>
      </c>
      <c r="E97" t="s">
        <v>138</v>
      </c>
      <c r="F97" t="s">
        <v>1031</v>
      </c>
      <c r="G97" t="s">
        <v>1032</v>
      </c>
      <c r="H97" t="s">
        <v>1033</v>
      </c>
      <c r="I97" t="s">
        <v>1034</v>
      </c>
      <c r="J97" t="s">
        <v>1035</v>
      </c>
      <c r="K97" t="s">
        <v>1036</v>
      </c>
      <c r="L97" t="s">
        <v>438</v>
      </c>
      <c r="M97" t="s">
        <v>534</v>
      </c>
      <c r="N97" t="s">
        <v>534</v>
      </c>
      <c r="O97" t="s">
        <v>16</v>
      </c>
    </row>
    <row r="98" spans="1:15" x14ac:dyDescent="0.3">
      <c r="A98" t="s">
        <v>157</v>
      </c>
      <c r="B98" t="s">
        <v>38</v>
      </c>
      <c r="C98" s="25">
        <v>45617</v>
      </c>
      <c r="D98" t="s">
        <v>20</v>
      </c>
      <c r="E98" t="s">
        <v>39</v>
      </c>
      <c r="F98" t="s">
        <v>1037</v>
      </c>
      <c r="G98" t="s">
        <v>1038</v>
      </c>
      <c r="H98" t="s">
        <v>533</v>
      </c>
      <c r="I98" t="s">
        <v>1039</v>
      </c>
      <c r="J98" t="s">
        <v>1040</v>
      </c>
      <c r="K98" t="s">
        <v>866</v>
      </c>
      <c r="L98" t="s">
        <v>438</v>
      </c>
      <c r="M98" t="s">
        <v>534</v>
      </c>
      <c r="N98" t="s">
        <v>534</v>
      </c>
      <c r="O98" t="s">
        <v>28</v>
      </c>
    </row>
    <row r="99" spans="1:15" x14ac:dyDescent="0.3">
      <c r="A99" t="s">
        <v>158</v>
      </c>
      <c r="B99" t="s">
        <v>13</v>
      </c>
      <c r="C99" s="25">
        <v>45586</v>
      </c>
      <c r="D99" t="s">
        <v>14</v>
      </c>
      <c r="E99" t="s">
        <v>15</v>
      </c>
      <c r="F99" t="s">
        <v>1041</v>
      </c>
      <c r="G99" t="s">
        <v>1042</v>
      </c>
      <c r="H99" t="s">
        <v>1043</v>
      </c>
      <c r="I99" t="s">
        <v>1044</v>
      </c>
      <c r="J99" t="s">
        <v>1045</v>
      </c>
      <c r="K99" t="s">
        <v>1046</v>
      </c>
      <c r="L99" t="s">
        <v>440</v>
      </c>
      <c r="M99" t="s">
        <v>439</v>
      </c>
      <c r="N99" t="s">
        <v>442</v>
      </c>
      <c r="O99" t="s">
        <v>34</v>
      </c>
    </row>
    <row r="100" spans="1:15" x14ac:dyDescent="0.3">
      <c r="A100" t="s">
        <v>160</v>
      </c>
      <c r="B100" t="s">
        <v>23</v>
      </c>
      <c r="C100" s="25">
        <v>45586</v>
      </c>
      <c r="D100" t="s">
        <v>14</v>
      </c>
      <c r="E100" t="s">
        <v>112</v>
      </c>
      <c r="F100" t="s">
        <v>1047</v>
      </c>
      <c r="G100" t="s">
        <v>1048</v>
      </c>
      <c r="H100" t="s">
        <v>1049</v>
      </c>
      <c r="I100" t="s">
        <v>1050</v>
      </c>
      <c r="J100" t="s">
        <v>1051</v>
      </c>
      <c r="K100" t="s">
        <v>757</v>
      </c>
      <c r="L100" t="s">
        <v>439</v>
      </c>
      <c r="M100" t="s">
        <v>534</v>
      </c>
      <c r="N100" t="s">
        <v>534</v>
      </c>
      <c r="O100" t="s">
        <v>28</v>
      </c>
    </row>
    <row r="101" spans="1:15" x14ac:dyDescent="0.3">
      <c r="A101" t="s">
        <v>161</v>
      </c>
      <c r="B101" t="s">
        <v>38</v>
      </c>
      <c r="C101" s="25">
        <v>45586</v>
      </c>
      <c r="D101" t="s">
        <v>53</v>
      </c>
      <c r="E101" t="s">
        <v>60</v>
      </c>
      <c r="F101" t="s">
        <v>1052</v>
      </c>
      <c r="G101" t="s">
        <v>1053</v>
      </c>
      <c r="H101" t="s">
        <v>738</v>
      </c>
      <c r="I101" t="s">
        <v>1054</v>
      </c>
      <c r="J101" t="s">
        <v>1055</v>
      </c>
      <c r="K101" t="s">
        <v>1036</v>
      </c>
      <c r="L101" t="s">
        <v>439</v>
      </c>
      <c r="M101" t="s">
        <v>534</v>
      </c>
      <c r="N101" t="s">
        <v>534</v>
      </c>
      <c r="O101" t="s">
        <v>16</v>
      </c>
    </row>
    <row r="102" spans="1:15" x14ac:dyDescent="0.3">
      <c r="A102" t="s">
        <v>162</v>
      </c>
      <c r="B102" t="s">
        <v>18</v>
      </c>
      <c r="C102" s="25">
        <v>45586</v>
      </c>
      <c r="D102" t="s">
        <v>57</v>
      </c>
      <c r="E102" t="s">
        <v>106</v>
      </c>
      <c r="F102" t="s">
        <v>1056</v>
      </c>
      <c r="G102" t="s">
        <v>1057</v>
      </c>
      <c r="H102" t="s">
        <v>1058</v>
      </c>
      <c r="I102" t="s">
        <v>1059</v>
      </c>
      <c r="J102" t="s">
        <v>1060</v>
      </c>
      <c r="K102" t="s">
        <v>1061</v>
      </c>
      <c r="L102" t="s">
        <v>440</v>
      </c>
      <c r="M102" t="s">
        <v>534</v>
      </c>
      <c r="N102" t="s">
        <v>534</v>
      </c>
      <c r="O102" t="s">
        <v>30</v>
      </c>
    </row>
    <row r="103" spans="1:15" x14ac:dyDescent="0.3">
      <c r="A103" t="s">
        <v>163</v>
      </c>
      <c r="B103" t="s">
        <v>23</v>
      </c>
      <c r="C103" s="25">
        <v>45586</v>
      </c>
      <c r="D103" t="s">
        <v>57</v>
      </c>
      <c r="E103" t="s">
        <v>64</v>
      </c>
      <c r="F103" t="s">
        <v>1062</v>
      </c>
      <c r="G103" t="s">
        <v>1063</v>
      </c>
      <c r="H103" t="s">
        <v>1064</v>
      </c>
      <c r="I103" t="s">
        <v>1065</v>
      </c>
      <c r="J103" t="s">
        <v>1066</v>
      </c>
      <c r="K103" t="s">
        <v>1067</v>
      </c>
      <c r="L103" t="s">
        <v>438</v>
      </c>
      <c r="M103" t="s">
        <v>534</v>
      </c>
      <c r="N103" t="s">
        <v>534</v>
      </c>
      <c r="O103" t="s">
        <v>30</v>
      </c>
    </row>
    <row r="104" spans="1:15" x14ac:dyDescent="0.3">
      <c r="A104" t="s">
        <v>164</v>
      </c>
      <c r="B104" t="s">
        <v>38</v>
      </c>
      <c r="C104" s="25">
        <v>45586</v>
      </c>
      <c r="D104" t="s">
        <v>53</v>
      </c>
      <c r="E104" t="s">
        <v>60</v>
      </c>
      <c r="F104" t="s">
        <v>1068</v>
      </c>
      <c r="G104" t="s">
        <v>1069</v>
      </c>
      <c r="H104" t="s">
        <v>1070</v>
      </c>
      <c r="I104" t="s">
        <v>1071</v>
      </c>
      <c r="J104" t="s">
        <v>1072</v>
      </c>
      <c r="K104" t="s">
        <v>1073</v>
      </c>
      <c r="L104" t="s">
        <v>438</v>
      </c>
      <c r="M104" t="s">
        <v>534</v>
      </c>
      <c r="N104" t="s">
        <v>534</v>
      </c>
      <c r="O104" t="s">
        <v>30</v>
      </c>
    </row>
    <row r="105" spans="1:15" x14ac:dyDescent="0.3">
      <c r="A105" t="s">
        <v>165</v>
      </c>
      <c r="B105" t="s">
        <v>18</v>
      </c>
      <c r="C105" s="25">
        <v>45525</v>
      </c>
      <c r="D105" t="s">
        <v>24</v>
      </c>
      <c r="E105" t="s">
        <v>33</v>
      </c>
      <c r="F105" t="s">
        <v>1074</v>
      </c>
      <c r="G105" t="s">
        <v>1075</v>
      </c>
      <c r="H105" t="s">
        <v>1076</v>
      </c>
      <c r="I105" t="s">
        <v>1077</v>
      </c>
      <c r="J105" t="s">
        <v>1078</v>
      </c>
      <c r="K105" t="s">
        <v>1079</v>
      </c>
      <c r="L105" t="s">
        <v>439</v>
      </c>
      <c r="M105" t="s">
        <v>534</v>
      </c>
      <c r="N105" t="s">
        <v>534</v>
      </c>
      <c r="O105" t="s">
        <v>28</v>
      </c>
    </row>
    <row r="106" spans="1:15" x14ac:dyDescent="0.3">
      <c r="A106" t="s">
        <v>166</v>
      </c>
      <c r="B106" t="s">
        <v>18</v>
      </c>
      <c r="C106" s="25">
        <v>45494</v>
      </c>
      <c r="D106" t="s">
        <v>53</v>
      </c>
      <c r="E106" t="s">
        <v>87</v>
      </c>
      <c r="F106" t="s">
        <v>1080</v>
      </c>
      <c r="G106" t="s">
        <v>1081</v>
      </c>
      <c r="H106" t="s">
        <v>785</v>
      </c>
      <c r="I106" t="s">
        <v>1082</v>
      </c>
      <c r="J106" t="s">
        <v>1083</v>
      </c>
      <c r="K106" t="s">
        <v>1084</v>
      </c>
      <c r="L106" t="s">
        <v>438</v>
      </c>
      <c r="M106" t="s">
        <v>534</v>
      </c>
      <c r="N106" t="s">
        <v>534</v>
      </c>
      <c r="O106" t="s">
        <v>30</v>
      </c>
    </row>
    <row r="107" spans="1:15" x14ac:dyDescent="0.3">
      <c r="A107" t="s">
        <v>167</v>
      </c>
      <c r="B107" t="s">
        <v>23</v>
      </c>
      <c r="C107" s="25">
        <v>45494</v>
      </c>
      <c r="D107" t="s">
        <v>45</v>
      </c>
      <c r="E107" t="s">
        <v>78</v>
      </c>
      <c r="F107" t="s">
        <v>1085</v>
      </c>
      <c r="G107" t="s">
        <v>671</v>
      </c>
      <c r="H107" t="s">
        <v>1086</v>
      </c>
      <c r="I107" t="s">
        <v>1087</v>
      </c>
      <c r="J107" t="s">
        <v>1088</v>
      </c>
      <c r="K107" t="s">
        <v>736</v>
      </c>
      <c r="L107" t="s">
        <v>439</v>
      </c>
      <c r="M107" t="s">
        <v>534</v>
      </c>
      <c r="N107" t="s">
        <v>534</v>
      </c>
    </row>
    <row r="108" spans="1:15" x14ac:dyDescent="0.3">
      <c r="A108" t="s">
        <v>168</v>
      </c>
      <c r="B108" t="s">
        <v>13</v>
      </c>
      <c r="C108" s="25">
        <v>45464</v>
      </c>
      <c r="D108" t="s">
        <v>24</v>
      </c>
      <c r="E108" t="s">
        <v>138</v>
      </c>
      <c r="F108" t="s">
        <v>1089</v>
      </c>
      <c r="G108" t="s">
        <v>1090</v>
      </c>
      <c r="H108" t="s">
        <v>560</v>
      </c>
      <c r="I108" t="s">
        <v>1091</v>
      </c>
      <c r="J108" t="s">
        <v>1092</v>
      </c>
      <c r="K108" t="s">
        <v>1093</v>
      </c>
      <c r="L108" t="s">
        <v>439</v>
      </c>
      <c r="M108" t="s">
        <v>534</v>
      </c>
      <c r="N108" t="s">
        <v>534</v>
      </c>
    </row>
    <row r="109" spans="1:15" x14ac:dyDescent="0.3">
      <c r="A109" t="s">
        <v>169</v>
      </c>
      <c r="B109" t="s">
        <v>13</v>
      </c>
      <c r="C109" s="25">
        <v>45737</v>
      </c>
      <c r="D109" t="s">
        <v>24</v>
      </c>
      <c r="E109" t="s">
        <v>138</v>
      </c>
      <c r="F109" t="s">
        <v>1094</v>
      </c>
      <c r="G109" t="s">
        <v>1095</v>
      </c>
      <c r="H109" t="s">
        <v>729</v>
      </c>
      <c r="I109" t="s">
        <v>1096</v>
      </c>
      <c r="J109" t="s">
        <v>1097</v>
      </c>
      <c r="K109" t="s">
        <v>589</v>
      </c>
      <c r="L109" t="s">
        <v>440</v>
      </c>
      <c r="M109" t="s">
        <v>534</v>
      </c>
      <c r="N109" t="s">
        <v>534</v>
      </c>
      <c r="O109" t="s">
        <v>30</v>
      </c>
    </row>
    <row r="110" spans="1:15" x14ac:dyDescent="0.3">
      <c r="A110" t="s">
        <v>170</v>
      </c>
      <c r="B110" t="s">
        <v>38</v>
      </c>
      <c r="C110" s="25">
        <v>45646</v>
      </c>
      <c r="D110" t="s">
        <v>20</v>
      </c>
      <c r="E110" t="s">
        <v>39</v>
      </c>
      <c r="F110" t="s">
        <v>1098</v>
      </c>
      <c r="G110" t="s">
        <v>1022</v>
      </c>
      <c r="H110" t="s">
        <v>1099</v>
      </c>
      <c r="I110" t="s">
        <v>1100</v>
      </c>
      <c r="J110" t="s">
        <v>1101</v>
      </c>
      <c r="K110" t="s">
        <v>552</v>
      </c>
      <c r="L110" t="s">
        <v>440</v>
      </c>
      <c r="M110" t="s">
        <v>534</v>
      </c>
      <c r="N110" t="s">
        <v>534</v>
      </c>
      <c r="O110" t="s">
        <v>34</v>
      </c>
    </row>
    <row r="111" spans="1:15" x14ac:dyDescent="0.3">
      <c r="A111" t="s">
        <v>171</v>
      </c>
      <c r="B111" t="s">
        <v>38</v>
      </c>
      <c r="C111" s="25">
        <v>45524</v>
      </c>
      <c r="D111" t="s">
        <v>53</v>
      </c>
      <c r="E111" t="s">
        <v>60</v>
      </c>
      <c r="F111" t="s">
        <v>1102</v>
      </c>
      <c r="G111" t="s">
        <v>1103</v>
      </c>
      <c r="H111" t="s">
        <v>1104</v>
      </c>
      <c r="I111" t="s">
        <v>1105</v>
      </c>
      <c r="J111" t="s">
        <v>1106</v>
      </c>
      <c r="K111" t="s">
        <v>875</v>
      </c>
      <c r="L111" t="s">
        <v>438</v>
      </c>
      <c r="M111" t="s">
        <v>534</v>
      </c>
      <c r="N111" t="s">
        <v>534</v>
      </c>
      <c r="O111" t="s">
        <v>16</v>
      </c>
    </row>
    <row r="112" spans="1:15" x14ac:dyDescent="0.3">
      <c r="A112" t="s">
        <v>172</v>
      </c>
      <c r="B112" t="s">
        <v>18</v>
      </c>
      <c r="C112" s="25">
        <v>45463</v>
      </c>
      <c r="D112" t="s">
        <v>14</v>
      </c>
      <c r="E112" t="s">
        <v>36</v>
      </c>
      <c r="F112" t="s">
        <v>1107</v>
      </c>
      <c r="G112" t="s">
        <v>1108</v>
      </c>
      <c r="H112" t="s">
        <v>891</v>
      </c>
      <c r="I112" t="s">
        <v>1109</v>
      </c>
      <c r="J112" t="s">
        <v>1110</v>
      </c>
      <c r="K112" t="s">
        <v>738</v>
      </c>
      <c r="L112" t="s">
        <v>439</v>
      </c>
      <c r="M112" t="s">
        <v>534</v>
      </c>
      <c r="N112" t="s">
        <v>534</v>
      </c>
      <c r="O112" t="s">
        <v>28</v>
      </c>
    </row>
    <row r="113" spans="1:15" x14ac:dyDescent="0.3">
      <c r="A113" t="s">
        <v>173</v>
      </c>
      <c r="B113" t="s">
        <v>23</v>
      </c>
      <c r="C113" s="25">
        <v>45463</v>
      </c>
      <c r="D113" t="s">
        <v>20</v>
      </c>
      <c r="E113" t="s">
        <v>27</v>
      </c>
      <c r="F113" t="s">
        <v>1111</v>
      </c>
      <c r="G113" t="s">
        <v>1006</v>
      </c>
      <c r="H113" t="s">
        <v>1112</v>
      </c>
      <c r="I113" t="s">
        <v>1113</v>
      </c>
      <c r="J113" t="s">
        <v>1114</v>
      </c>
      <c r="K113" t="s">
        <v>578</v>
      </c>
      <c r="L113" t="s">
        <v>440</v>
      </c>
      <c r="M113" t="s">
        <v>534</v>
      </c>
      <c r="N113" t="s">
        <v>534</v>
      </c>
    </row>
    <row r="114" spans="1:15" x14ac:dyDescent="0.3">
      <c r="A114" t="s">
        <v>174</v>
      </c>
      <c r="B114" t="s">
        <v>23</v>
      </c>
      <c r="C114" s="25">
        <v>45708</v>
      </c>
      <c r="D114" t="s">
        <v>20</v>
      </c>
      <c r="E114" t="s">
        <v>27</v>
      </c>
      <c r="F114" t="s">
        <v>1115</v>
      </c>
      <c r="G114" t="s">
        <v>1116</v>
      </c>
      <c r="H114" t="s">
        <v>1117</v>
      </c>
      <c r="I114" t="s">
        <v>1118</v>
      </c>
      <c r="J114" t="s">
        <v>1119</v>
      </c>
      <c r="K114" t="s">
        <v>1120</v>
      </c>
      <c r="L114" t="s">
        <v>440</v>
      </c>
      <c r="M114" t="s">
        <v>534</v>
      </c>
      <c r="N114" t="s">
        <v>534</v>
      </c>
      <c r="O114" t="s">
        <v>34</v>
      </c>
    </row>
    <row r="115" spans="1:15" x14ac:dyDescent="0.3">
      <c r="A115" t="s">
        <v>175</v>
      </c>
      <c r="B115" t="s">
        <v>38</v>
      </c>
      <c r="C115" s="25">
        <v>45645</v>
      </c>
      <c r="D115" t="s">
        <v>45</v>
      </c>
      <c r="E115" t="s">
        <v>70</v>
      </c>
      <c r="F115" t="s">
        <v>1121</v>
      </c>
      <c r="G115" t="s">
        <v>1122</v>
      </c>
      <c r="H115" t="s">
        <v>1123</v>
      </c>
      <c r="I115" t="s">
        <v>1124</v>
      </c>
      <c r="J115" t="s">
        <v>1125</v>
      </c>
      <c r="K115" t="s">
        <v>764</v>
      </c>
      <c r="L115" t="s">
        <v>440</v>
      </c>
      <c r="M115" t="s">
        <v>534</v>
      </c>
      <c r="N115" t="s">
        <v>534</v>
      </c>
      <c r="O115" t="s">
        <v>30</v>
      </c>
    </row>
    <row r="116" spans="1:15" x14ac:dyDescent="0.3">
      <c r="A116" t="s">
        <v>176</v>
      </c>
      <c r="B116" t="s">
        <v>38</v>
      </c>
      <c r="C116" s="25">
        <v>45584</v>
      </c>
      <c r="D116" t="s">
        <v>57</v>
      </c>
      <c r="E116" t="s">
        <v>62</v>
      </c>
      <c r="F116" t="s">
        <v>1126</v>
      </c>
      <c r="G116" t="s">
        <v>1127</v>
      </c>
      <c r="H116" t="s">
        <v>1120</v>
      </c>
      <c r="I116" t="s">
        <v>1128</v>
      </c>
      <c r="J116" t="s">
        <v>1129</v>
      </c>
      <c r="K116" t="s">
        <v>1130</v>
      </c>
      <c r="L116" t="s">
        <v>439</v>
      </c>
      <c r="M116" t="s">
        <v>534</v>
      </c>
      <c r="N116" t="s">
        <v>534</v>
      </c>
      <c r="O116" t="s">
        <v>30</v>
      </c>
    </row>
    <row r="117" spans="1:15" x14ac:dyDescent="0.3">
      <c r="A117" t="s">
        <v>177</v>
      </c>
      <c r="B117" t="s">
        <v>18</v>
      </c>
      <c r="C117" s="25">
        <v>45523</v>
      </c>
      <c r="D117" t="s">
        <v>45</v>
      </c>
      <c r="E117" t="s">
        <v>46</v>
      </c>
      <c r="F117" t="s">
        <v>1131</v>
      </c>
      <c r="G117" t="s">
        <v>1003</v>
      </c>
      <c r="H117" t="s">
        <v>1076</v>
      </c>
      <c r="I117" t="s">
        <v>1132</v>
      </c>
      <c r="J117" t="s">
        <v>1133</v>
      </c>
      <c r="K117" t="s">
        <v>1134</v>
      </c>
      <c r="L117" t="s">
        <v>438</v>
      </c>
      <c r="M117" t="s">
        <v>442</v>
      </c>
      <c r="N117" t="s">
        <v>440</v>
      </c>
      <c r="O117" t="s">
        <v>16</v>
      </c>
    </row>
    <row r="118" spans="1:15" x14ac:dyDescent="0.3">
      <c r="A118" t="s">
        <v>179</v>
      </c>
      <c r="B118" t="s">
        <v>38</v>
      </c>
      <c r="C118" s="25">
        <v>45523</v>
      </c>
      <c r="D118" t="s">
        <v>53</v>
      </c>
      <c r="E118" t="s">
        <v>60</v>
      </c>
      <c r="F118" t="s">
        <v>1135</v>
      </c>
      <c r="G118" t="s">
        <v>1136</v>
      </c>
      <c r="H118" t="s">
        <v>1006</v>
      </c>
      <c r="I118" t="s">
        <v>1137</v>
      </c>
      <c r="J118" t="s">
        <v>1100</v>
      </c>
      <c r="K118" t="s">
        <v>1003</v>
      </c>
      <c r="L118" t="s">
        <v>438</v>
      </c>
      <c r="M118" t="s">
        <v>534</v>
      </c>
      <c r="N118" t="s">
        <v>534</v>
      </c>
      <c r="O118" t="s">
        <v>28</v>
      </c>
    </row>
    <row r="119" spans="1:15" x14ac:dyDescent="0.3">
      <c r="A119" t="s">
        <v>180</v>
      </c>
      <c r="B119" t="s">
        <v>18</v>
      </c>
      <c r="C119" s="25">
        <v>45462</v>
      </c>
      <c r="D119" t="s">
        <v>20</v>
      </c>
      <c r="E119" t="s">
        <v>21</v>
      </c>
      <c r="F119" t="s">
        <v>1138</v>
      </c>
      <c r="G119" t="s">
        <v>570</v>
      </c>
      <c r="H119" t="s">
        <v>1139</v>
      </c>
      <c r="I119" t="s">
        <v>1140</v>
      </c>
      <c r="J119" t="s">
        <v>1141</v>
      </c>
      <c r="K119" t="s">
        <v>812</v>
      </c>
      <c r="L119" t="s">
        <v>440</v>
      </c>
      <c r="M119" t="s">
        <v>534</v>
      </c>
      <c r="N119" t="s">
        <v>534</v>
      </c>
      <c r="O119" t="s">
        <v>30</v>
      </c>
    </row>
    <row r="120" spans="1:15" x14ac:dyDescent="0.3">
      <c r="A120" t="s">
        <v>181</v>
      </c>
      <c r="B120" t="s">
        <v>38</v>
      </c>
      <c r="C120" s="25">
        <v>45766</v>
      </c>
      <c r="D120" t="s">
        <v>24</v>
      </c>
      <c r="E120" t="s">
        <v>85</v>
      </c>
      <c r="F120" t="s">
        <v>1142</v>
      </c>
      <c r="G120" t="s">
        <v>1143</v>
      </c>
      <c r="H120" t="s">
        <v>1144</v>
      </c>
      <c r="I120" t="s">
        <v>1145</v>
      </c>
      <c r="J120" t="s">
        <v>1146</v>
      </c>
      <c r="K120" t="s">
        <v>648</v>
      </c>
      <c r="L120" t="s">
        <v>438</v>
      </c>
      <c r="M120" t="s">
        <v>534</v>
      </c>
      <c r="N120" t="s">
        <v>534</v>
      </c>
      <c r="O120" t="s">
        <v>28</v>
      </c>
    </row>
    <row r="121" spans="1:15" x14ac:dyDescent="0.3">
      <c r="A121" t="s">
        <v>182</v>
      </c>
      <c r="B121" t="s">
        <v>38</v>
      </c>
      <c r="C121" s="25">
        <v>45766</v>
      </c>
      <c r="D121" t="s">
        <v>57</v>
      </c>
      <c r="E121" t="s">
        <v>62</v>
      </c>
      <c r="F121" t="s">
        <v>1147</v>
      </c>
      <c r="G121" t="s">
        <v>950</v>
      </c>
      <c r="H121" t="s">
        <v>1148</v>
      </c>
      <c r="I121" t="s">
        <v>1149</v>
      </c>
      <c r="J121" t="s">
        <v>1150</v>
      </c>
      <c r="K121" t="s">
        <v>1108</v>
      </c>
      <c r="L121" t="s">
        <v>440</v>
      </c>
      <c r="M121" t="s">
        <v>534</v>
      </c>
      <c r="N121" t="s">
        <v>534</v>
      </c>
      <c r="O121" t="s">
        <v>16</v>
      </c>
    </row>
    <row r="122" spans="1:15" x14ac:dyDescent="0.3">
      <c r="A122" t="s">
        <v>183</v>
      </c>
      <c r="B122" t="s">
        <v>23</v>
      </c>
      <c r="C122" s="25">
        <v>45735</v>
      </c>
      <c r="D122" t="s">
        <v>14</v>
      </c>
      <c r="E122" t="s">
        <v>112</v>
      </c>
      <c r="F122" t="s">
        <v>1151</v>
      </c>
      <c r="G122" t="s">
        <v>1152</v>
      </c>
      <c r="H122" t="s">
        <v>1153</v>
      </c>
      <c r="I122" t="s">
        <v>1154</v>
      </c>
      <c r="J122" t="s">
        <v>1155</v>
      </c>
      <c r="K122" t="s">
        <v>1156</v>
      </c>
      <c r="L122" t="s">
        <v>438</v>
      </c>
      <c r="M122" t="s">
        <v>442</v>
      </c>
      <c r="N122" t="s">
        <v>534</v>
      </c>
      <c r="O122" t="s">
        <v>34</v>
      </c>
    </row>
    <row r="123" spans="1:15" x14ac:dyDescent="0.3">
      <c r="A123" t="s">
        <v>184</v>
      </c>
      <c r="B123" t="s">
        <v>23</v>
      </c>
      <c r="C123" s="25">
        <v>45707</v>
      </c>
      <c r="D123" t="s">
        <v>45</v>
      </c>
      <c r="E123" t="s">
        <v>78</v>
      </c>
      <c r="F123" t="s">
        <v>1157</v>
      </c>
      <c r="G123" t="s">
        <v>1158</v>
      </c>
      <c r="H123" t="s">
        <v>1159</v>
      </c>
      <c r="I123" t="s">
        <v>1160</v>
      </c>
      <c r="J123" t="s">
        <v>1161</v>
      </c>
      <c r="K123" t="s">
        <v>1162</v>
      </c>
      <c r="L123" t="s">
        <v>439</v>
      </c>
      <c r="M123" t="s">
        <v>534</v>
      </c>
      <c r="N123" t="s">
        <v>534</v>
      </c>
      <c r="O123" t="s">
        <v>34</v>
      </c>
    </row>
    <row r="124" spans="1:15" x14ac:dyDescent="0.3">
      <c r="A124" t="s">
        <v>185</v>
      </c>
      <c r="B124" t="s">
        <v>13</v>
      </c>
      <c r="C124" s="25">
        <v>45707</v>
      </c>
      <c r="D124" t="s">
        <v>24</v>
      </c>
      <c r="E124" t="s">
        <v>138</v>
      </c>
      <c r="F124" t="s">
        <v>1163</v>
      </c>
      <c r="G124" t="s">
        <v>1164</v>
      </c>
      <c r="H124" t="s">
        <v>1165</v>
      </c>
      <c r="I124" t="s">
        <v>1166</v>
      </c>
      <c r="J124" t="s">
        <v>1167</v>
      </c>
      <c r="K124" t="s">
        <v>1168</v>
      </c>
      <c r="L124" t="s">
        <v>438</v>
      </c>
      <c r="M124" t="s">
        <v>534</v>
      </c>
      <c r="N124" t="s">
        <v>534</v>
      </c>
      <c r="O124" t="s">
        <v>28</v>
      </c>
    </row>
    <row r="125" spans="1:15" x14ac:dyDescent="0.3">
      <c r="A125" t="s">
        <v>186</v>
      </c>
      <c r="B125" t="s">
        <v>18</v>
      </c>
      <c r="C125" s="25">
        <v>45644</v>
      </c>
      <c r="D125" t="s">
        <v>20</v>
      </c>
      <c r="E125" t="s">
        <v>21</v>
      </c>
      <c r="F125" t="s">
        <v>1169</v>
      </c>
      <c r="G125" t="s">
        <v>640</v>
      </c>
      <c r="H125" t="s">
        <v>1170</v>
      </c>
      <c r="I125" t="s">
        <v>1171</v>
      </c>
      <c r="J125" t="s">
        <v>1172</v>
      </c>
      <c r="K125" t="s">
        <v>1173</v>
      </c>
      <c r="L125" t="s">
        <v>438</v>
      </c>
      <c r="M125" t="s">
        <v>534</v>
      </c>
      <c r="N125" t="s">
        <v>534</v>
      </c>
      <c r="O125" t="s">
        <v>30</v>
      </c>
    </row>
    <row r="126" spans="1:15" x14ac:dyDescent="0.3">
      <c r="A126" t="s">
        <v>187</v>
      </c>
      <c r="B126" t="s">
        <v>13</v>
      </c>
      <c r="C126" s="25">
        <v>45614</v>
      </c>
      <c r="D126" t="s">
        <v>20</v>
      </c>
      <c r="E126" t="s">
        <v>41</v>
      </c>
      <c r="F126" t="s">
        <v>1174</v>
      </c>
      <c r="G126" t="s">
        <v>866</v>
      </c>
      <c r="H126" t="s">
        <v>1175</v>
      </c>
      <c r="I126" t="s">
        <v>1176</v>
      </c>
      <c r="J126" t="s">
        <v>1177</v>
      </c>
      <c r="K126" t="s">
        <v>853</v>
      </c>
      <c r="L126" t="s">
        <v>440</v>
      </c>
      <c r="M126" t="s">
        <v>534</v>
      </c>
      <c r="N126" t="s">
        <v>534</v>
      </c>
      <c r="O126" t="s">
        <v>28</v>
      </c>
    </row>
    <row r="127" spans="1:15" x14ac:dyDescent="0.3">
      <c r="A127" t="s">
        <v>189</v>
      </c>
      <c r="B127" t="s">
        <v>13</v>
      </c>
      <c r="C127" s="25">
        <v>45583</v>
      </c>
      <c r="D127" t="s">
        <v>14</v>
      </c>
      <c r="E127" t="s">
        <v>15</v>
      </c>
      <c r="F127" t="s">
        <v>1178</v>
      </c>
      <c r="G127" t="s">
        <v>1179</v>
      </c>
      <c r="H127" t="s">
        <v>1036</v>
      </c>
      <c r="I127" t="s">
        <v>1180</v>
      </c>
      <c r="J127" t="s">
        <v>1181</v>
      </c>
      <c r="K127" t="s">
        <v>1182</v>
      </c>
      <c r="L127" t="s">
        <v>438</v>
      </c>
      <c r="M127" t="s">
        <v>534</v>
      </c>
      <c r="N127" t="s">
        <v>534</v>
      </c>
      <c r="O127" t="s">
        <v>30</v>
      </c>
    </row>
    <row r="128" spans="1:15" x14ac:dyDescent="0.3">
      <c r="A128" t="s">
        <v>190</v>
      </c>
      <c r="B128" t="s">
        <v>18</v>
      </c>
      <c r="C128" s="25">
        <v>45583</v>
      </c>
      <c r="D128" t="s">
        <v>57</v>
      </c>
      <c r="E128" t="s">
        <v>106</v>
      </c>
      <c r="F128" t="s">
        <v>1183</v>
      </c>
      <c r="G128" t="s">
        <v>1184</v>
      </c>
      <c r="H128" t="s">
        <v>1185</v>
      </c>
      <c r="I128" t="s">
        <v>1186</v>
      </c>
      <c r="J128" t="s">
        <v>1187</v>
      </c>
      <c r="K128" t="s">
        <v>630</v>
      </c>
      <c r="L128" t="s">
        <v>438</v>
      </c>
      <c r="M128" t="s">
        <v>534</v>
      </c>
      <c r="N128" t="s">
        <v>534</v>
      </c>
      <c r="O128" t="s">
        <v>34</v>
      </c>
    </row>
    <row r="129" spans="1:15" x14ac:dyDescent="0.3">
      <c r="A129" t="s">
        <v>191</v>
      </c>
      <c r="B129" t="s">
        <v>13</v>
      </c>
      <c r="C129" s="25">
        <v>45553</v>
      </c>
      <c r="D129" t="s">
        <v>20</v>
      </c>
      <c r="E129" t="s">
        <v>41</v>
      </c>
      <c r="F129" t="s">
        <v>1188</v>
      </c>
      <c r="G129" t="s">
        <v>1182</v>
      </c>
      <c r="H129" t="s">
        <v>1152</v>
      </c>
      <c r="I129" t="s">
        <v>1189</v>
      </c>
      <c r="J129" t="s">
        <v>1190</v>
      </c>
      <c r="K129" t="s">
        <v>1191</v>
      </c>
      <c r="L129" t="s">
        <v>440</v>
      </c>
      <c r="M129" t="s">
        <v>534</v>
      </c>
      <c r="N129" t="s">
        <v>534</v>
      </c>
      <c r="O129" t="s">
        <v>16</v>
      </c>
    </row>
    <row r="130" spans="1:15" x14ac:dyDescent="0.3">
      <c r="A130" t="s">
        <v>192</v>
      </c>
      <c r="B130" t="s">
        <v>23</v>
      </c>
      <c r="C130" s="25">
        <v>45553</v>
      </c>
      <c r="D130" t="s">
        <v>53</v>
      </c>
      <c r="E130" t="s">
        <v>83</v>
      </c>
      <c r="F130" t="s">
        <v>1192</v>
      </c>
      <c r="G130" t="s">
        <v>1193</v>
      </c>
      <c r="H130" t="s">
        <v>1194</v>
      </c>
      <c r="I130" t="s">
        <v>1195</v>
      </c>
      <c r="J130" t="s">
        <v>1196</v>
      </c>
      <c r="K130" t="s">
        <v>1197</v>
      </c>
      <c r="L130" t="s">
        <v>440</v>
      </c>
      <c r="M130" t="s">
        <v>534</v>
      </c>
      <c r="N130" t="s">
        <v>534</v>
      </c>
      <c r="O130" t="s">
        <v>16</v>
      </c>
    </row>
    <row r="131" spans="1:15" x14ac:dyDescent="0.3">
      <c r="A131" t="s">
        <v>193</v>
      </c>
      <c r="B131" t="s">
        <v>23</v>
      </c>
      <c r="C131" s="25">
        <v>45491</v>
      </c>
      <c r="D131" t="s">
        <v>24</v>
      </c>
      <c r="E131" t="s">
        <v>25</v>
      </c>
      <c r="F131" t="s">
        <v>1198</v>
      </c>
      <c r="G131" t="s">
        <v>1199</v>
      </c>
      <c r="H131" t="s">
        <v>1200</v>
      </c>
      <c r="I131" t="s">
        <v>1201</v>
      </c>
      <c r="J131" t="s">
        <v>1202</v>
      </c>
      <c r="K131" t="s">
        <v>1203</v>
      </c>
      <c r="L131" t="s">
        <v>440</v>
      </c>
      <c r="M131" t="s">
        <v>534</v>
      </c>
      <c r="N131" t="s">
        <v>534</v>
      </c>
      <c r="O131" t="s">
        <v>16</v>
      </c>
    </row>
    <row r="132" spans="1:15" x14ac:dyDescent="0.3">
      <c r="A132" t="s">
        <v>194</v>
      </c>
      <c r="B132" t="s">
        <v>23</v>
      </c>
      <c r="C132" s="25">
        <v>45491</v>
      </c>
      <c r="D132" t="s">
        <v>20</v>
      </c>
      <c r="E132" t="s">
        <v>27</v>
      </c>
      <c r="F132" t="s">
        <v>817</v>
      </c>
      <c r="G132" t="s">
        <v>533</v>
      </c>
      <c r="H132" t="s">
        <v>1204</v>
      </c>
      <c r="I132" t="s">
        <v>819</v>
      </c>
      <c r="J132" t="s">
        <v>1205</v>
      </c>
      <c r="K132" t="s">
        <v>1206</v>
      </c>
      <c r="L132" t="s">
        <v>438</v>
      </c>
      <c r="M132" t="s">
        <v>534</v>
      </c>
      <c r="N132" t="s">
        <v>534</v>
      </c>
      <c r="O132" t="s">
        <v>34</v>
      </c>
    </row>
    <row r="133" spans="1:15" x14ac:dyDescent="0.3">
      <c r="A133" t="s">
        <v>195</v>
      </c>
      <c r="B133" t="s">
        <v>13</v>
      </c>
      <c r="C133" s="25">
        <v>45491</v>
      </c>
      <c r="D133" t="s">
        <v>45</v>
      </c>
      <c r="E133" t="s">
        <v>51</v>
      </c>
      <c r="F133" t="s">
        <v>1207</v>
      </c>
      <c r="G133" t="s">
        <v>1208</v>
      </c>
      <c r="H133" t="s">
        <v>1199</v>
      </c>
      <c r="I133" t="s">
        <v>1209</v>
      </c>
      <c r="J133" t="s">
        <v>1210</v>
      </c>
      <c r="K133" t="s">
        <v>682</v>
      </c>
      <c r="L133" t="s">
        <v>440</v>
      </c>
      <c r="M133" t="s">
        <v>534</v>
      </c>
      <c r="N133" t="s">
        <v>534</v>
      </c>
    </row>
    <row r="134" spans="1:15" x14ac:dyDescent="0.3">
      <c r="A134" t="s">
        <v>196</v>
      </c>
      <c r="B134" t="s">
        <v>13</v>
      </c>
      <c r="C134" s="25">
        <v>45734</v>
      </c>
      <c r="D134" t="s">
        <v>53</v>
      </c>
      <c r="E134" t="s">
        <v>54</v>
      </c>
      <c r="F134" t="s">
        <v>662</v>
      </c>
      <c r="G134" t="s">
        <v>1211</v>
      </c>
      <c r="H134" t="s">
        <v>897</v>
      </c>
      <c r="I134" t="s">
        <v>1212</v>
      </c>
      <c r="J134" t="s">
        <v>1213</v>
      </c>
      <c r="K134" t="s">
        <v>598</v>
      </c>
      <c r="L134" t="s">
        <v>439</v>
      </c>
      <c r="M134" t="s">
        <v>534</v>
      </c>
      <c r="N134" t="s">
        <v>534</v>
      </c>
    </row>
    <row r="135" spans="1:15" x14ac:dyDescent="0.3">
      <c r="A135" t="s">
        <v>197</v>
      </c>
      <c r="B135" t="s">
        <v>13</v>
      </c>
      <c r="C135" s="25">
        <v>45675</v>
      </c>
      <c r="D135" t="s">
        <v>24</v>
      </c>
      <c r="E135" t="s">
        <v>138</v>
      </c>
      <c r="F135" t="s">
        <v>1214</v>
      </c>
      <c r="G135" t="s">
        <v>1215</v>
      </c>
      <c r="H135" t="s">
        <v>1216</v>
      </c>
      <c r="I135" t="s">
        <v>1217</v>
      </c>
      <c r="J135" t="s">
        <v>1218</v>
      </c>
      <c r="K135" t="s">
        <v>1219</v>
      </c>
      <c r="L135" t="s">
        <v>439</v>
      </c>
      <c r="M135" t="s">
        <v>534</v>
      </c>
      <c r="N135" t="s">
        <v>534</v>
      </c>
    </row>
    <row r="136" spans="1:15" x14ac:dyDescent="0.3">
      <c r="A136" t="s">
        <v>198</v>
      </c>
      <c r="B136" t="s">
        <v>18</v>
      </c>
      <c r="C136" s="25">
        <v>45675</v>
      </c>
      <c r="D136" t="s">
        <v>57</v>
      </c>
      <c r="E136" t="s">
        <v>106</v>
      </c>
      <c r="F136" t="s">
        <v>1220</v>
      </c>
      <c r="G136" t="s">
        <v>1221</v>
      </c>
      <c r="H136" t="s">
        <v>1222</v>
      </c>
      <c r="I136" t="s">
        <v>1223</v>
      </c>
      <c r="J136" t="s">
        <v>1224</v>
      </c>
      <c r="K136" t="s">
        <v>799</v>
      </c>
      <c r="L136" t="s">
        <v>439</v>
      </c>
      <c r="M136" t="s">
        <v>534</v>
      </c>
      <c r="N136" t="s">
        <v>534</v>
      </c>
      <c r="O136" t="s">
        <v>34</v>
      </c>
    </row>
    <row r="137" spans="1:15" x14ac:dyDescent="0.3">
      <c r="A137" t="s">
        <v>199</v>
      </c>
      <c r="B137" t="s">
        <v>38</v>
      </c>
      <c r="C137" s="25">
        <v>45643</v>
      </c>
      <c r="D137" t="s">
        <v>57</v>
      </c>
      <c r="E137" t="s">
        <v>62</v>
      </c>
      <c r="F137" t="s">
        <v>786</v>
      </c>
      <c r="G137" t="s">
        <v>602</v>
      </c>
      <c r="H137" t="s">
        <v>1086</v>
      </c>
      <c r="I137" t="s">
        <v>1225</v>
      </c>
      <c r="J137" t="s">
        <v>1226</v>
      </c>
      <c r="K137" t="s">
        <v>742</v>
      </c>
      <c r="L137" t="s">
        <v>438</v>
      </c>
      <c r="M137" t="s">
        <v>534</v>
      </c>
      <c r="N137" t="s">
        <v>534</v>
      </c>
      <c r="O137" t="s">
        <v>16</v>
      </c>
    </row>
    <row r="138" spans="1:15" x14ac:dyDescent="0.3">
      <c r="A138" t="s">
        <v>200</v>
      </c>
      <c r="B138" t="s">
        <v>18</v>
      </c>
      <c r="C138" s="25">
        <v>45613</v>
      </c>
      <c r="D138" t="s">
        <v>45</v>
      </c>
      <c r="E138" t="s">
        <v>46</v>
      </c>
      <c r="F138" t="s">
        <v>1227</v>
      </c>
      <c r="G138" t="s">
        <v>1153</v>
      </c>
      <c r="H138" t="s">
        <v>1228</v>
      </c>
      <c r="I138" t="s">
        <v>1229</v>
      </c>
      <c r="J138" t="s">
        <v>1230</v>
      </c>
      <c r="K138" t="s">
        <v>1215</v>
      </c>
      <c r="L138" t="s">
        <v>439</v>
      </c>
      <c r="M138" t="s">
        <v>442</v>
      </c>
      <c r="N138" t="s">
        <v>534</v>
      </c>
    </row>
    <row r="139" spans="1:15" x14ac:dyDescent="0.3">
      <c r="A139" t="s">
        <v>201</v>
      </c>
      <c r="B139" t="s">
        <v>38</v>
      </c>
      <c r="C139" s="25">
        <v>45582</v>
      </c>
      <c r="D139" t="s">
        <v>14</v>
      </c>
      <c r="E139" t="s">
        <v>43</v>
      </c>
      <c r="F139" t="s">
        <v>1231</v>
      </c>
      <c r="G139" t="s">
        <v>687</v>
      </c>
      <c r="H139" t="s">
        <v>963</v>
      </c>
      <c r="I139" t="s">
        <v>1232</v>
      </c>
      <c r="J139" t="s">
        <v>1233</v>
      </c>
      <c r="K139" t="s">
        <v>1234</v>
      </c>
      <c r="L139" t="s">
        <v>440</v>
      </c>
      <c r="M139" t="s">
        <v>534</v>
      </c>
      <c r="N139" t="s">
        <v>534</v>
      </c>
      <c r="O139" t="s">
        <v>16</v>
      </c>
    </row>
    <row r="140" spans="1:15" x14ac:dyDescent="0.3">
      <c r="A140" t="s">
        <v>202</v>
      </c>
      <c r="B140" t="s">
        <v>23</v>
      </c>
      <c r="C140" s="25">
        <v>45552</v>
      </c>
      <c r="D140" t="s">
        <v>45</v>
      </c>
      <c r="E140" t="s">
        <v>78</v>
      </c>
      <c r="F140" t="s">
        <v>1235</v>
      </c>
      <c r="G140" t="s">
        <v>1236</v>
      </c>
      <c r="H140" t="s">
        <v>1237</v>
      </c>
      <c r="I140" t="s">
        <v>1238</v>
      </c>
      <c r="J140" t="s">
        <v>1239</v>
      </c>
      <c r="K140" t="s">
        <v>1175</v>
      </c>
      <c r="L140" t="s">
        <v>439</v>
      </c>
      <c r="M140" t="s">
        <v>534</v>
      </c>
      <c r="N140" t="s">
        <v>534</v>
      </c>
      <c r="O140" t="s">
        <v>34</v>
      </c>
    </row>
    <row r="141" spans="1:15" x14ac:dyDescent="0.3">
      <c r="A141" t="s">
        <v>203</v>
      </c>
      <c r="B141" t="s">
        <v>13</v>
      </c>
      <c r="C141" s="25">
        <v>45552</v>
      </c>
      <c r="D141" t="s">
        <v>45</v>
      </c>
      <c r="E141" t="s">
        <v>51</v>
      </c>
      <c r="F141" t="s">
        <v>1240</v>
      </c>
      <c r="G141" t="s">
        <v>1234</v>
      </c>
      <c r="H141" t="s">
        <v>1046</v>
      </c>
      <c r="I141" t="s">
        <v>1241</v>
      </c>
      <c r="J141" t="s">
        <v>1242</v>
      </c>
      <c r="K141" t="s">
        <v>877</v>
      </c>
      <c r="L141" t="s">
        <v>438</v>
      </c>
      <c r="M141" t="s">
        <v>534</v>
      </c>
      <c r="N141" t="s">
        <v>534</v>
      </c>
      <c r="O141" t="s">
        <v>34</v>
      </c>
    </row>
    <row r="142" spans="1:15" x14ac:dyDescent="0.3">
      <c r="A142" t="s">
        <v>204</v>
      </c>
      <c r="B142" t="s">
        <v>18</v>
      </c>
      <c r="C142" s="25">
        <v>45521</v>
      </c>
      <c r="D142" t="s">
        <v>24</v>
      </c>
      <c r="E142" t="s">
        <v>33</v>
      </c>
      <c r="F142" t="s">
        <v>1243</v>
      </c>
      <c r="G142" t="s">
        <v>1191</v>
      </c>
      <c r="H142" t="s">
        <v>1244</v>
      </c>
      <c r="I142" t="s">
        <v>1245</v>
      </c>
      <c r="J142" t="s">
        <v>1246</v>
      </c>
      <c r="K142" t="s">
        <v>1247</v>
      </c>
      <c r="L142" t="s">
        <v>438</v>
      </c>
      <c r="M142" t="s">
        <v>534</v>
      </c>
      <c r="N142" t="s">
        <v>534</v>
      </c>
      <c r="O142" t="s">
        <v>30</v>
      </c>
    </row>
    <row r="143" spans="1:15" x14ac:dyDescent="0.3">
      <c r="A143" t="s">
        <v>205</v>
      </c>
      <c r="B143" t="s">
        <v>23</v>
      </c>
      <c r="C143" s="25">
        <v>45460</v>
      </c>
      <c r="D143" t="s">
        <v>24</v>
      </c>
      <c r="E143" t="s">
        <v>25</v>
      </c>
      <c r="F143" t="s">
        <v>987</v>
      </c>
      <c r="G143" t="s">
        <v>583</v>
      </c>
      <c r="H143" t="s">
        <v>1248</v>
      </c>
      <c r="I143" t="s">
        <v>1249</v>
      </c>
      <c r="J143" t="s">
        <v>1250</v>
      </c>
      <c r="K143" t="s">
        <v>1206</v>
      </c>
      <c r="L143" t="s">
        <v>438</v>
      </c>
      <c r="M143" t="s">
        <v>534</v>
      </c>
      <c r="N143" t="s">
        <v>534</v>
      </c>
      <c r="O143" t="s">
        <v>34</v>
      </c>
    </row>
    <row r="144" spans="1:15" x14ac:dyDescent="0.3">
      <c r="A144" t="s">
        <v>207</v>
      </c>
      <c r="B144" t="s">
        <v>18</v>
      </c>
      <c r="C144" s="25">
        <v>45460</v>
      </c>
      <c r="D144" t="s">
        <v>24</v>
      </c>
      <c r="E144" t="s">
        <v>33</v>
      </c>
      <c r="F144" t="s">
        <v>1251</v>
      </c>
      <c r="G144" t="s">
        <v>633</v>
      </c>
      <c r="H144" t="s">
        <v>988</v>
      </c>
      <c r="I144" t="s">
        <v>1252</v>
      </c>
      <c r="J144" t="s">
        <v>1253</v>
      </c>
      <c r="K144" t="s">
        <v>685</v>
      </c>
      <c r="L144" t="s">
        <v>440</v>
      </c>
      <c r="M144" t="s">
        <v>534</v>
      </c>
      <c r="N144" t="s">
        <v>534</v>
      </c>
      <c r="O144" t="s">
        <v>34</v>
      </c>
    </row>
    <row r="145" spans="1:15" x14ac:dyDescent="0.3">
      <c r="A145" t="s">
        <v>208</v>
      </c>
      <c r="B145" t="s">
        <v>13</v>
      </c>
      <c r="C145" s="25">
        <v>45764</v>
      </c>
      <c r="D145" t="s">
        <v>20</v>
      </c>
      <c r="E145" t="s">
        <v>41</v>
      </c>
      <c r="F145" t="s">
        <v>1254</v>
      </c>
      <c r="G145" t="s">
        <v>1255</v>
      </c>
      <c r="H145" t="s">
        <v>1256</v>
      </c>
      <c r="I145" t="s">
        <v>1257</v>
      </c>
      <c r="J145" t="s">
        <v>1258</v>
      </c>
      <c r="K145" t="s">
        <v>1259</v>
      </c>
      <c r="L145" t="s">
        <v>438</v>
      </c>
      <c r="M145" t="s">
        <v>534</v>
      </c>
      <c r="N145" t="s">
        <v>534</v>
      </c>
      <c r="O145" t="s">
        <v>30</v>
      </c>
    </row>
    <row r="146" spans="1:15" x14ac:dyDescent="0.3">
      <c r="A146" t="s">
        <v>209</v>
      </c>
      <c r="B146" t="s">
        <v>13</v>
      </c>
      <c r="C146" s="25">
        <v>45705</v>
      </c>
      <c r="D146" t="s">
        <v>53</v>
      </c>
      <c r="E146" t="s">
        <v>54</v>
      </c>
      <c r="F146" t="s">
        <v>1260</v>
      </c>
      <c r="G146" t="s">
        <v>685</v>
      </c>
      <c r="H146" t="s">
        <v>1261</v>
      </c>
      <c r="I146" t="s">
        <v>1262</v>
      </c>
      <c r="J146" t="s">
        <v>1263</v>
      </c>
      <c r="K146" t="s">
        <v>789</v>
      </c>
      <c r="L146" t="s">
        <v>439</v>
      </c>
      <c r="M146" t="s">
        <v>534</v>
      </c>
      <c r="N146" t="s">
        <v>534</v>
      </c>
      <c r="O146" t="s">
        <v>34</v>
      </c>
    </row>
    <row r="147" spans="1:15" x14ac:dyDescent="0.3">
      <c r="A147" t="s">
        <v>211</v>
      </c>
      <c r="B147" t="s">
        <v>38</v>
      </c>
      <c r="C147" s="25">
        <v>45674</v>
      </c>
      <c r="D147" t="s">
        <v>53</v>
      </c>
      <c r="E147" t="s">
        <v>60</v>
      </c>
      <c r="F147" t="s">
        <v>721</v>
      </c>
      <c r="G147" t="s">
        <v>1264</v>
      </c>
      <c r="H147" t="s">
        <v>1265</v>
      </c>
      <c r="I147" t="s">
        <v>1266</v>
      </c>
      <c r="J147" t="s">
        <v>1267</v>
      </c>
      <c r="K147" t="s">
        <v>1268</v>
      </c>
      <c r="L147" t="s">
        <v>438</v>
      </c>
      <c r="M147" t="s">
        <v>534</v>
      </c>
      <c r="N147" t="s">
        <v>534</v>
      </c>
      <c r="O147" t="s">
        <v>34</v>
      </c>
    </row>
    <row r="148" spans="1:15" x14ac:dyDescent="0.3">
      <c r="A148" t="s">
        <v>212</v>
      </c>
      <c r="B148" t="s">
        <v>38</v>
      </c>
      <c r="C148" s="25">
        <v>45642</v>
      </c>
      <c r="D148" t="s">
        <v>45</v>
      </c>
      <c r="E148" t="s">
        <v>70</v>
      </c>
      <c r="F148" t="s">
        <v>1269</v>
      </c>
      <c r="G148" t="s">
        <v>926</v>
      </c>
      <c r="H148" t="s">
        <v>564</v>
      </c>
      <c r="I148" t="s">
        <v>1270</v>
      </c>
      <c r="J148" t="s">
        <v>1271</v>
      </c>
      <c r="K148" t="s">
        <v>778</v>
      </c>
      <c r="L148" t="s">
        <v>439</v>
      </c>
      <c r="M148" t="s">
        <v>534</v>
      </c>
      <c r="N148" t="s">
        <v>534</v>
      </c>
      <c r="O148" t="s">
        <v>16</v>
      </c>
    </row>
    <row r="149" spans="1:15" x14ac:dyDescent="0.3">
      <c r="A149" t="s">
        <v>214</v>
      </c>
      <c r="B149" t="s">
        <v>23</v>
      </c>
      <c r="C149" s="25">
        <v>45489</v>
      </c>
      <c r="D149" t="s">
        <v>45</v>
      </c>
      <c r="E149" t="s">
        <v>78</v>
      </c>
      <c r="F149" t="s">
        <v>1272</v>
      </c>
      <c r="G149" t="s">
        <v>1075</v>
      </c>
      <c r="H149" t="s">
        <v>1273</v>
      </c>
      <c r="I149" t="s">
        <v>1274</v>
      </c>
      <c r="J149" t="s">
        <v>1275</v>
      </c>
      <c r="K149" t="s">
        <v>931</v>
      </c>
      <c r="L149" t="s">
        <v>438</v>
      </c>
      <c r="M149" t="s">
        <v>534</v>
      </c>
      <c r="N149" t="s">
        <v>534</v>
      </c>
      <c r="O149" t="s">
        <v>34</v>
      </c>
    </row>
    <row r="150" spans="1:15" x14ac:dyDescent="0.3">
      <c r="A150" t="s">
        <v>215</v>
      </c>
      <c r="B150" t="s">
        <v>23</v>
      </c>
      <c r="C150" s="25">
        <v>45459</v>
      </c>
      <c r="D150" t="s">
        <v>14</v>
      </c>
      <c r="E150" t="s">
        <v>112</v>
      </c>
      <c r="F150" t="s">
        <v>1276</v>
      </c>
      <c r="G150" t="s">
        <v>1277</v>
      </c>
      <c r="H150" t="s">
        <v>1278</v>
      </c>
      <c r="I150" t="s">
        <v>1279</v>
      </c>
      <c r="J150" t="s">
        <v>1280</v>
      </c>
      <c r="K150" t="s">
        <v>997</v>
      </c>
      <c r="L150" t="s">
        <v>440</v>
      </c>
      <c r="M150" t="s">
        <v>534</v>
      </c>
      <c r="N150" t="s">
        <v>534</v>
      </c>
      <c r="O150" t="s">
        <v>28</v>
      </c>
    </row>
    <row r="151" spans="1:15" x14ac:dyDescent="0.3">
      <c r="A151" t="s">
        <v>216</v>
      </c>
      <c r="B151" t="s">
        <v>18</v>
      </c>
      <c r="C151" s="25">
        <v>45704</v>
      </c>
      <c r="D151" t="s">
        <v>57</v>
      </c>
      <c r="E151" t="s">
        <v>106</v>
      </c>
      <c r="F151" t="s">
        <v>1281</v>
      </c>
      <c r="G151" t="s">
        <v>1282</v>
      </c>
      <c r="H151" t="s">
        <v>598</v>
      </c>
      <c r="I151" t="s">
        <v>1283</v>
      </c>
      <c r="J151" t="s">
        <v>1284</v>
      </c>
      <c r="K151" t="s">
        <v>1285</v>
      </c>
      <c r="L151" t="s">
        <v>438</v>
      </c>
      <c r="M151" t="s">
        <v>534</v>
      </c>
      <c r="N151" t="s">
        <v>534</v>
      </c>
    </row>
    <row r="152" spans="1:15" x14ac:dyDescent="0.3">
      <c r="A152" t="s">
        <v>217</v>
      </c>
      <c r="B152" t="s">
        <v>23</v>
      </c>
      <c r="C152" s="25">
        <v>45704</v>
      </c>
      <c r="D152" t="s">
        <v>53</v>
      </c>
      <c r="E152" t="s">
        <v>83</v>
      </c>
      <c r="F152" t="s">
        <v>1286</v>
      </c>
      <c r="G152" t="s">
        <v>1287</v>
      </c>
      <c r="H152" t="s">
        <v>1288</v>
      </c>
      <c r="I152" t="s">
        <v>1289</v>
      </c>
      <c r="J152" t="s">
        <v>1290</v>
      </c>
      <c r="K152" t="s">
        <v>1046</v>
      </c>
      <c r="L152" t="s">
        <v>438</v>
      </c>
      <c r="M152" t="s">
        <v>534</v>
      </c>
      <c r="N152" t="s">
        <v>534</v>
      </c>
      <c r="O152" t="s">
        <v>28</v>
      </c>
    </row>
    <row r="153" spans="1:15" x14ac:dyDescent="0.3">
      <c r="A153" t="s">
        <v>218</v>
      </c>
      <c r="B153" t="s">
        <v>13</v>
      </c>
      <c r="C153" s="25">
        <v>45580</v>
      </c>
      <c r="D153" t="s">
        <v>14</v>
      </c>
      <c r="E153" t="s">
        <v>15</v>
      </c>
      <c r="F153" t="s">
        <v>1291</v>
      </c>
      <c r="G153" t="s">
        <v>1292</v>
      </c>
      <c r="H153" t="s">
        <v>1206</v>
      </c>
      <c r="I153" t="s">
        <v>1293</v>
      </c>
      <c r="J153" t="s">
        <v>1294</v>
      </c>
      <c r="K153" t="s">
        <v>1295</v>
      </c>
      <c r="L153" t="s">
        <v>440</v>
      </c>
      <c r="M153" t="s">
        <v>534</v>
      </c>
      <c r="N153" t="s">
        <v>534</v>
      </c>
    </row>
    <row r="154" spans="1:15" x14ac:dyDescent="0.3">
      <c r="A154" t="s">
        <v>219</v>
      </c>
      <c r="B154" t="s">
        <v>38</v>
      </c>
      <c r="C154" s="25">
        <v>45519</v>
      </c>
      <c r="D154" t="s">
        <v>20</v>
      </c>
      <c r="E154" t="s">
        <v>39</v>
      </c>
      <c r="F154" t="s">
        <v>1296</v>
      </c>
      <c r="G154" t="s">
        <v>612</v>
      </c>
      <c r="H154" t="s">
        <v>1297</v>
      </c>
      <c r="I154" t="s">
        <v>1298</v>
      </c>
      <c r="J154" t="s">
        <v>1299</v>
      </c>
      <c r="K154" t="s">
        <v>778</v>
      </c>
      <c r="L154" t="s">
        <v>438</v>
      </c>
      <c r="M154" t="s">
        <v>439</v>
      </c>
      <c r="N154" t="s">
        <v>442</v>
      </c>
      <c r="O154" t="s">
        <v>34</v>
      </c>
    </row>
    <row r="155" spans="1:15" x14ac:dyDescent="0.3">
      <c r="A155" t="s">
        <v>220</v>
      </c>
      <c r="B155" t="s">
        <v>38</v>
      </c>
      <c r="C155" s="25">
        <v>45519</v>
      </c>
      <c r="D155" t="s">
        <v>53</v>
      </c>
      <c r="E155" t="s">
        <v>60</v>
      </c>
      <c r="F155" t="s">
        <v>1300</v>
      </c>
      <c r="G155" t="s">
        <v>1301</v>
      </c>
      <c r="H155" t="s">
        <v>583</v>
      </c>
      <c r="I155" t="s">
        <v>1302</v>
      </c>
      <c r="J155" t="s">
        <v>1303</v>
      </c>
      <c r="K155" t="s">
        <v>1000</v>
      </c>
      <c r="L155" t="s">
        <v>440</v>
      </c>
      <c r="M155" t="s">
        <v>534</v>
      </c>
      <c r="N155" t="s">
        <v>534</v>
      </c>
      <c r="O155" t="s">
        <v>28</v>
      </c>
    </row>
    <row r="156" spans="1:15" x14ac:dyDescent="0.3">
      <c r="A156" t="s">
        <v>221</v>
      </c>
      <c r="B156" t="s">
        <v>18</v>
      </c>
      <c r="C156" s="25">
        <v>45488</v>
      </c>
      <c r="D156" t="s">
        <v>20</v>
      </c>
      <c r="E156" t="s">
        <v>21</v>
      </c>
      <c r="F156" t="s">
        <v>1304</v>
      </c>
      <c r="G156" t="s">
        <v>1305</v>
      </c>
      <c r="H156" t="s">
        <v>1306</v>
      </c>
      <c r="I156" t="s">
        <v>1307</v>
      </c>
      <c r="J156" t="s">
        <v>1308</v>
      </c>
      <c r="K156" t="s">
        <v>1309</v>
      </c>
      <c r="L156" t="s">
        <v>439</v>
      </c>
      <c r="M156" t="s">
        <v>534</v>
      </c>
      <c r="N156" t="s">
        <v>534</v>
      </c>
    </row>
    <row r="157" spans="1:15" x14ac:dyDescent="0.3">
      <c r="A157" t="s">
        <v>223</v>
      </c>
      <c r="B157" t="s">
        <v>18</v>
      </c>
      <c r="C157" s="25">
        <v>45488</v>
      </c>
      <c r="D157" t="s">
        <v>24</v>
      </c>
      <c r="E157" t="s">
        <v>33</v>
      </c>
      <c r="F157" t="s">
        <v>1310</v>
      </c>
      <c r="G157" t="s">
        <v>856</v>
      </c>
      <c r="H157" t="s">
        <v>1311</v>
      </c>
      <c r="I157" t="s">
        <v>1312</v>
      </c>
      <c r="J157" t="s">
        <v>1313</v>
      </c>
      <c r="K157" t="s">
        <v>560</v>
      </c>
      <c r="L157" t="s">
        <v>440</v>
      </c>
      <c r="M157" t="s">
        <v>425</v>
      </c>
      <c r="N157" t="s">
        <v>534</v>
      </c>
      <c r="O157" t="s">
        <v>16</v>
      </c>
    </row>
    <row r="158" spans="1:15" x14ac:dyDescent="0.3">
      <c r="A158" t="s">
        <v>224</v>
      </c>
      <c r="B158" t="s">
        <v>18</v>
      </c>
      <c r="C158" s="25">
        <v>45488</v>
      </c>
      <c r="D158" t="s">
        <v>53</v>
      </c>
      <c r="E158" t="s">
        <v>87</v>
      </c>
      <c r="F158" t="s">
        <v>1314</v>
      </c>
      <c r="G158" t="s">
        <v>821</v>
      </c>
      <c r="H158" t="s">
        <v>1049</v>
      </c>
      <c r="I158" t="s">
        <v>1315</v>
      </c>
      <c r="J158" t="s">
        <v>1316</v>
      </c>
      <c r="K158" t="s">
        <v>727</v>
      </c>
      <c r="L158" t="s">
        <v>440</v>
      </c>
      <c r="M158" t="s">
        <v>534</v>
      </c>
      <c r="N158" t="s">
        <v>534</v>
      </c>
      <c r="O158" t="s">
        <v>30</v>
      </c>
    </row>
    <row r="159" spans="1:15" x14ac:dyDescent="0.3">
      <c r="A159" t="s">
        <v>225</v>
      </c>
      <c r="B159" t="s">
        <v>38</v>
      </c>
      <c r="C159" s="25">
        <v>45762</v>
      </c>
      <c r="D159" t="s">
        <v>53</v>
      </c>
      <c r="E159" t="s">
        <v>60</v>
      </c>
      <c r="F159" t="s">
        <v>908</v>
      </c>
      <c r="G159" t="s">
        <v>1317</v>
      </c>
      <c r="H159" t="s">
        <v>1003</v>
      </c>
      <c r="I159" t="s">
        <v>1318</v>
      </c>
      <c r="J159" t="s">
        <v>1319</v>
      </c>
      <c r="K159" t="s">
        <v>1259</v>
      </c>
      <c r="L159" t="s">
        <v>439</v>
      </c>
      <c r="M159" t="s">
        <v>534</v>
      </c>
      <c r="N159" t="s">
        <v>534</v>
      </c>
      <c r="O159" t="s">
        <v>34</v>
      </c>
    </row>
    <row r="160" spans="1:15" x14ac:dyDescent="0.3">
      <c r="A160" t="s">
        <v>226</v>
      </c>
      <c r="B160" t="s">
        <v>38</v>
      </c>
      <c r="C160" s="25">
        <v>45762</v>
      </c>
      <c r="D160" t="s">
        <v>14</v>
      </c>
      <c r="E160" t="s">
        <v>43</v>
      </c>
      <c r="F160" t="s">
        <v>1320</v>
      </c>
      <c r="G160" t="s">
        <v>1321</v>
      </c>
      <c r="H160" t="s">
        <v>1322</v>
      </c>
      <c r="I160" t="s">
        <v>1323</v>
      </c>
      <c r="J160" t="s">
        <v>1324</v>
      </c>
      <c r="K160" t="s">
        <v>1325</v>
      </c>
      <c r="L160" t="s">
        <v>440</v>
      </c>
      <c r="M160" t="s">
        <v>534</v>
      </c>
      <c r="N160" t="s">
        <v>534</v>
      </c>
      <c r="O160" t="s">
        <v>34</v>
      </c>
    </row>
    <row r="161" spans="1:15" x14ac:dyDescent="0.3">
      <c r="A161" t="s">
        <v>227</v>
      </c>
      <c r="B161" t="s">
        <v>23</v>
      </c>
      <c r="C161" s="25">
        <v>45672</v>
      </c>
      <c r="D161" t="s">
        <v>53</v>
      </c>
      <c r="E161" t="s">
        <v>83</v>
      </c>
      <c r="F161" t="s">
        <v>1326</v>
      </c>
      <c r="G161" t="s">
        <v>1259</v>
      </c>
      <c r="H161" t="s">
        <v>1327</v>
      </c>
      <c r="I161" t="s">
        <v>1328</v>
      </c>
      <c r="J161" t="s">
        <v>1329</v>
      </c>
      <c r="K161" t="s">
        <v>1156</v>
      </c>
      <c r="L161" t="s">
        <v>440</v>
      </c>
      <c r="M161" t="s">
        <v>534</v>
      </c>
      <c r="N161" t="s">
        <v>534</v>
      </c>
      <c r="O161" t="s">
        <v>28</v>
      </c>
    </row>
    <row r="162" spans="1:15" x14ac:dyDescent="0.3">
      <c r="A162" t="s">
        <v>228</v>
      </c>
      <c r="B162" t="s">
        <v>13</v>
      </c>
      <c r="C162" s="25">
        <v>45672</v>
      </c>
      <c r="D162" t="s">
        <v>53</v>
      </c>
      <c r="E162" t="s">
        <v>54</v>
      </c>
      <c r="F162" t="s">
        <v>1330</v>
      </c>
      <c r="G162" t="s">
        <v>589</v>
      </c>
      <c r="H162" t="s">
        <v>855</v>
      </c>
      <c r="I162" t="s">
        <v>1331</v>
      </c>
      <c r="J162" t="s">
        <v>1332</v>
      </c>
      <c r="K162" t="s">
        <v>718</v>
      </c>
      <c r="L162" t="s">
        <v>439</v>
      </c>
      <c r="M162" t="s">
        <v>534</v>
      </c>
      <c r="N162" t="s">
        <v>534</v>
      </c>
      <c r="O162" t="s">
        <v>30</v>
      </c>
    </row>
    <row r="163" spans="1:15" x14ac:dyDescent="0.3">
      <c r="A163" t="s">
        <v>229</v>
      </c>
      <c r="B163" t="s">
        <v>38</v>
      </c>
      <c r="C163" s="25">
        <v>45640</v>
      </c>
      <c r="D163" t="s">
        <v>20</v>
      </c>
      <c r="E163" t="s">
        <v>39</v>
      </c>
      <c r="F163" t="s">
        <v>1333</v>
      </c>
      <c r="G163" t="s">
        <v>1069</v>
      </c>
      <c r="H163" t="s">
        <v>948</v>
      </c>
      <c r="I163" t="s">
        <v>1334</v>
      </c>
      <c r="J163" t="s">
        <v>1335</v>
      </c>
      <c r="K163" t="s">
        <v>923</v>
      </c>
      <c r="L163" t="s">
        <v>439</v>
      </c>
      <c r="M163" t="s">
        <v>534</v>
      </c>
      <c r="N163" t="s">
        <v>534</v>
      </c>
      <c r="O163" t="s">
        <v>30</v>
      </c>
    </row>
    <row r="164" spans="1:15" x14ac:dyDescent="0.3">
      <c r="A164" t="s">
        <v>230</v>
      </c>
      <c r="B164" t="s">
        <v>23</v>
      </c>
      <c r="C164" s="25">
        <v>45610</v>
      </c>
      <c r="D164" t="s">
        <v>57</v>
      </c>
      <c r="E164" t="s">
        <v>64</v>
      </c>
      <c r="F164" t="s">
        <v>1336</v>
      </c>
      <c r="G164" t="s">
        <v>1337</v>
      </c>
      <c r="H164" t="s">
        <v>818</v>
      </c>
      <c r="I164" t="s">
        <v>1338</v>
      </c>
      <c r="J164" t="s">
        <v>1339</v>
      </c>
      <c r="K164" t="s">
        <v>625</v>
      </c>
      <c r="L164" t="s">
        <v>438</v>
      </c>
      <c r="M164" t="s">
        <v>534</v>
      </c>
      <c r="N164" t="s">
        <v>534</v>
      </c>
      <c r="O164" t="s">
        <v>28</v>
      </c>
    </row>
    <row r="165" spans="1:15" x14ac:dyDescent="0.3">
      <c r="A165" t="s">
        <v>231</v>
      </c>
      <c r="B165" t="s">
        <v>23</v>
      </c>
      <c r="C165" s="25">
        <v>45549</v>
      </c>
      <c r="D165" t="s">
        <v>24</v>
      </c>
      <c r="E165" t="s">
        <v>25</v>
      </c>
      <c r="F165" t="s">
        <v>1340</v>
      </c>
      <c r="G165" t="s">
        <v>1341</v>
      </c>
      <c r="H165" t="s">
        <v>1342</v>
      </c>
      <c r="I165" t="s">
        <v>1343</v>
      </c>
      <c r="J165" t="s">
        <v>1344</v>
      </c>
      <c r="K165" t="s">
        <v>773</v>
      </c>
      <c r="L165" t="s">
        <v>439</v>
      </c>
      <c r="M165" t="s">
        <v>534</v>
      </c>
      <c r="N165" t="s">
        <v>534</v>
      </c>
      <c r="O165" t="s">
        <v>30</v>
      </c>
    </row>
    <row r="166" spans="1:15" x14ac:dyDescent="0.3">
      <c r="A166" t="s">
        <v>232</v>
      </c>
      <c r="B166" t="s">
        <v>18</v>
      </c>
      <c r="C166" s="25">
        <v>45518</v>
      </c>
      <c r="D166" t="s">
        <v>20</v>
      </c>
      <c r="E166" t="s">
        <v>21</v>
      </c>
      <c r="F166" t="s">
        <v>1345</v>
      </c>
      <c r="G166" t="s">
        <v>1346</v>
      </c>
      <c r="H166" t="s">
        <v>682</v>
      </c>
      <c r="I166" t="s">
        <v>1347</v>
      </c>
      <c r="J166" t="s">
        <v>1348</v>
      </c>
      <c r="K166" t="s">
        <v>1297</v>
      </c>
      <c r="L166" t="s">
        <v>440</v>
      </c>
      <c r="M166" t="s">
        <v>534</v>
      </c>
      <c r="N166" t="s">
        <v>534</v>
      </c>
      <c r="O166" t="s">
        <v>30</v>
      </c>
    </row>
    <row r="167" spans="1:15" x14ac:dyDescent="0.3">
      <c r="A167" t="s">
        <v>233</v>
      </c>
      <c r="B167" t="s">
        <v>38</v>
      </c>
      <c r="C167" s="25">
        <v>45457</v>
      </c>
      <c r="D167" t="s">
        <v>20</v>
      </c>
      <c r="E167" t="s">
        <v>39</v>
      </c>
      <c r="F167" t="s">
        <v>640</v>
      </c>
      <c r="G167" t="s">
        <v>533</v>
      </c>
      <c r="H167" t="s">
        <v>1349</v>
      </c>
      <c r="I167" t="s">
        <v>1350</v>
      </c>
      <c r="J167" t="s">
        <v>1351</v>
      </c>
      <c r="K167" t="s">
        <v>1112</v>
      </c>
      <c r="L167" t="s">
        <v>438</v>
      </c>
      <c r="M167" t="s">
        <v>534</v>
      </c>
      <c r="N167" t="s">
        <v>534</v>
      </c>
      <c r="O167" t="s">
        <v>28</v>
      </c>
    </row>
    <row r="168" spans="1:15" x14ac:dyDescent="0.3">
      <c r="A168" t="s">
        <v>234</v>
      </c>
      <c r="B168" t="s">
        <v>38</v>
      </c>
      <c r="C168" s="25">
        <v>45457</v>
      </c>
      <c r="D168" t="s">
        <v>57</v>
      </c>
      <c r="E168" t="s">
        <v>62</v>
      </c>
      <c r="F168" t="s">
        <v>1352</v>
      </c>
      <c r="G168" t="s">
        <v>1353</v>
      </c>
      <c r="H168" t="s">
        <v>1354</v>
      </c>
      <c r="I168" t="s">
        <v>1355</v>
      </c>
      <c r="J168" t="s">
        <v>1356</v>
      </c>
      <c r="K168" t="s">
        <v>1357</v>
      </c>
      <c r="L168" t="s">
        <v>440</v>
      </c>
      <c r="M168" t="s">
        <v>534</v>
      </c>
      <c r="N168" t="s">
        <v>534</v>
      </c>
      <c r="O168" t="s">
        <v>28</v>
      </c>
    </row>
    <row r="169" spans="1:15" x14ac:dyDescent="0.3">
      <c r="A169" t="s">
        <v>235</v>
      </c>
      <c r="B169" t="s">
        <v>18</v>
      </c>
      <c r="C169" s="25">
        <v>45791</v>
      </c>
      <c r="D169" t="s">
        <v>45</v>
      </c>
      <c r="E169" t="s">
        <v>46</v>
      </c>
      <c r="F169" t="s">
        <v>1358</v>
      </c>
      <c r="G169" t="s">
        <v>1359</v>
      </c>
      <c r="H169" t="s">
        <v>718</v>
      </c>
      <c r="I169" t="s">
        <v>1360</v>
      </c>
      <c r="J169" t="s">
        <v>1361</v>
      </c>
      <c r="K169" t="s">
        <v>576</v>
      </c>
      <c r="L169" t="s">
        <v>440</v>
      </c>
      <c r="M169" t="s">
        <v>534</v>
      </c>
      <c r="N169" t="s">
        <v>534</v>
      </c>
      <c r="O169" t="s">
        <v>28</v>
      </c>
    </row>
    <row r="170" spans="1:15" x14ac:dyDescent="0.3">
      <c r="A170" t="s">
        <v>236</v>
      </c>
      <c r="B170" t="s">
        <v>23</v>
      </c>
      <c r="C170" s="25">
        <v>45671</v>
      </c>
      <c r="D170" t="s">
        <v>24</v>
      </c>
      <c r="E170" t="s">
        <v>25</v>
      </c>
      <c r="F170" t="s">
        <v>1362</v>
      </c>
      <c r="G170" t="s">
        <v>905</v>
      </c>
      <c r="H170" t="s">
        <v>703</v>
      </c>
      <c r="I170" t="s">
        <v>1363</v>
      </c>
      <c r="J170" t="s">
        <v>1364</v>
      </c>
      <c r="K170" t="s">
        <v>810</v>
      </c>
      <c r="L170" t="s">
        <v>438</v>
      </c>
      <c r="M170" t="s">
        <v>534</v>
      </c>
      <c r="N170" t="s">
        <v>534</v>
      </c>
      <c r="O170" t="s">
        <v>16</v>
      </c>
    </row>
    <row r="171" spans="1:15" x14ac:dyDescent="0.3">
      <c r="A171" t="s">
        <v>237</v>
      </c>
      <c r="B171" t="s">
        <v>38</v>
      </c>
      <c r="C171" s="25">
        <v>45517</v>
      </c>
      <c r="D171" t="s">
        <v>24</v>
      </c>
      <c r="E171" t="s">
        <v>85</v>
      </c>
      <c r="F171" t="s">
        <v>1365</v>
      </c>
      <c r="G171" t="s">
        <v>1366</v>
      </c>
      <c r="H171" t="s">
        <v>903</v>
      </c>
      <c r="I171" t="s">
        <v>1367</v>
      </c>
      <c r="J171" t="s">
        <v>1368</v>
      </c>
      <c r="K171" t="s">
        <v>1216</v>
      </c>
      <c r="L171" t="s">
        <v>439</v>
      </c>
      <c r="M171" t="s">
        <v>442</v>
      </c>
      <c r="N171" t="s">
        <v>534</v>
      </c>
      <c r="O171" t="s">
        <v>16</v>
      </c>
    </row>
    <row r="172" spans="1:15" x14ac:dyDescent="0.3">
      <c r="A172" t="s">
        <v>238</v>
      </c>
      <c r="B172" t="s">
        <v>13</v>
      </c>
      <c r="C172" s="25">
        <v>45486</v>
      </c>
      <c r="D172" t="s">
        <v>24</v>
      </c>
      <c r="E172" t="s">
        <v>138</v>
      </c>
      <c r="F172" t="s">
        <v>1369</v>
      </c>
      <c r="G172" t="s">
        <v>1259</v>
      </c>
      <c r="H172" t="s">
        <v>1370</v>
      </c>
      <c r="I172" t="s">
        <v>1371</v>
      </c>
      <c r="J172" t="s">
        <v>1372</v>
      </c>
      <c r="K172" t="s">
        <v>855</v>
      </c>
      <c r="L172" t="s">
        <v>440</v>
      </c>
      <c r="M172" t="s">
        <v>534</v>
      </c>
      <c r="N172" t="s">
        <v>534</v>
      </c>
      <c r="O172" t="s">
        <v>34</v>
      </c>
    </row>
    <row r="173" spans="1:15" x14ac:dyDescent="0.3">
      <c r="A173" t="s">
        <v>239</v>
      </c>
      <c r="B173" t="s">
        <v>38</v>
      </c>
      <c r="C173" s="25">
        <v>45456</v>
      </c>
      <c r="D173" t="s">
        <v>57</v>
      </c>
      <c r="E173" t="s">
        <v>62</v>
      </c>
      <c r="F173" t="s">
        <v>1373</v>
      </c>
      <c r="G173" t="s">
        <v>1374</v>
      </c>
      <c r="H173" t="s">
        <v>908</v>
      </c>
      <c r="I173" t="s">
        <v>1375</v>
      </c>
      <c r="J173" t="s">
        <v>1376</v>
      </c>
      <c r="K173" t="s">
        <v>1377</v>
      </c>
      <c r="L173" t="s">
        <v>438</v>
      </c>
      <c r="M173" t="s">
        <v>534</v>
      </c>
      <c r="N173" t="s">
        <v>534</v>
      </c>
    </row>
    <row r="174" spans="1:15" x14ac:dyDescent="0.3">
      <c r="A174" t="s">
        <v>240</v>
      </c>
      <c r="B174" t="s">
        <v>18</v>
      </c>
      <c r="C174" s="25">
        <v>45456</v>
      </c>
      <c r="D174" t="s">
        <v>20</v>
      </c>
      <c r="E174" t="s">
        <v>21</v>
      </c>
      <c r="F174" t="s">
        <v>1378</v>
      </c>
      <c r="G174" t="s">
        <v>1379</v>
      </c>
      <c r="H174" t="s">
        <v>589</v>
      </c>
      <c r="I174" t="s">
        <v>1380</v>
      </c>
      <c r="J174" t="s">
        <v>1381</v>
      </c>
      <c r="K174" t="s">
        <v>1117</v>
      </c>
      <c r="L174" t="s">
        <v>438</v>
      </c>
      <c r="M174" t="s">
        <v>534</v>
      </c>
      <c r="N174" t="s">
        <v>534</v>
      </c>
      <c r="O174" t="s">
        <v>16</v>
      </c>
    </row>
    <row r="175" spans="1:15" x14ac:dyDescent="0.3">
      <c r="A175" t="s">
        <v>241</v>
      </c>
      <c r="B175" t="s">
        <v>18</v>
      </c>
      <c r="C175" s="25">
        <v>45790</v>
      </c>
      <c r="D175" t="s">
        <v>24</v>
      </c>
      <c r="E175" t="s">
        <v>33</v>
      </c>
      <c r="F175" t="s">
        <v>1382</v>
      </c>
      <c r="G175" t="s">
        <v>1383</v>
      </c>
      <c r="H175" t="s">
        <v>618</v>
      </c>
      <c r="I175" t="s">
        <v>1384</v>
      </c>
      <c r="J175" t="s">
        <v>1385</v>
      </c>
      <c r="K175" t="s">
        <v>1386</v>
      </c>
      <c r="L175" t="s">
        <v>439</v>
      </c>
      <c r="M175" t="s">
        <v>534</v>
      </c>
      <c r="N175" t="s">
        <v>534</v>
      </c>
      <c r="O175" t="s">
        <v>30</v>
      </c>
    </row>
    <row r="176" spans="1:15" x14ac:dyDescent="0.3">
      <c r="A176" t="s">
        <v>242</v>
      </c>
      <c r="B176" t="s">
        <v>38</v>
      </c>
      <c r="C176" s="25">
        <v>45760</v>
      </c>
      <c r="D176" t="s">
        <v>53</v>
      </c>
      <c r="E176" t="s">
        <v>60</v>
      </c>
      <c r="F176" t="s">
        <v>1387</v>
      </c>
      <c r="G176" t="s">
        <v>558</v>
      </c>
      <c r="H176" t="s">
        <v>985</v>
      </c>
      <c r="I176" t="s">
        <v>1388</v>
      </c>
      <c r="J176" t="s">
        <v>1389</v>
      </c>
      <c r="K176" t="s">
        <v>1390</v>
      </c>
      <c r="L176" t="s">
        <v>440</v>
      </c>
      <c r="M176" t="s">
        <v>534</v>
      </c>
      <c r="N176" t="s">
        <v>534</v>
      </c>
      <c r="O176" t="s">
        <v>28</v>
      </c>
    </row>
    <row r="177" spans="1:15" x14ac:dyDescent="0.3">
      <c r="A177" t="s">
        <v>243</v>
      </c>
      <c r="B177" t="s">
        <v>13</v>
      </c>
      <c r="C177" s="25">
        <v>45729</v>
      </c>
      <c r="D177" t="s">
        <v>20</v>
      </c>
      <c r="E177" t="s">
        <v>41</v>
      </c>
      <c r="F177" t="s">
        <v>1391</v>
      </c>
      <c r="G177" t="s">
        <v>722</v>
      </c>
      <c r="H177" t="s">
        <v>1292</v>
      </c>
      <c r="I177" t="s">
        <v>1392</v>
      </c>
      <c r="J177" t="s">
        <v>1393</v>
      </c>
      <c r="K177" t="s">
        <v>1394</v>
      </c>
      <c r="L177" t="s">
        <v>438</v>
      </c>
      <c r="M177" t="s">
        <v>534</v>
      </c>
      <c r="N177" t="s">
        <v>534</v>
      </c>
      <c r="O177" t="s">
        <v>16</v>
      </c>
    </row>
    <row r="178" spans="1:15" x14ac:dyDescent="0.3">
      <c r="A178" t="s">
        <v>244</v>
      </c>
      <c r="B178" t="s">
        <v>23</v>
      </c>
      <c r="C178" s="25">
        <v>45608</v>
      </c>
      <c r="D178" t="s">
        <v>24</v>
      </c>
      <c r="E178" t="s">
        <v>25</v>
      </c>
      <c r="F178" t="s">
        <v>1395</v>
      </c>
      <c r="G178" t="s">
        <v>576</v>
      </c>
      <c r="H178" t="s">
        <v>578</v>
      </c>
      <c r="I178" t="s">
        <v>1396</v>
      </c>
      <c r="J178" t="s">
        <v>1397</v>
      </c>
      <c r="K178" t="s">
        <v>1398</v>
      </c>
      <c r="L178" t="s">
        <v>439</v>
      </c>
      <c r="M178" t="s">
        <v>534</v>
      </c>
      <c r="N178" t="s">
        <v>534</v>
      </c>
    </row>
    <row r="179" spans="1:15" x14ac:dyDescent="0.3">
      <c r="A179" t="s">
        <v>245</v>
      </c>
      <c r="B179" t="s">
        <v>18</v>
      </c>
      <c r="C179" s="25">
        <v>45608</v>
      </c>
      <c r="D179" t="s">
        <v>45</v>
      </c>
      <c r="E179" t="s">
        <v>46</v>
      </c>
      <c r="F179" t="s">
        <v>1399</v>
      </c>
      <c r="G179" t="s">
        <v>1400</v>
      </c>
      <c r="H179" t="s">
        <v>1401</v>
      </c>
      <c r="I179" t="s">
        <v>1402</v>
      </c>
      <c r="J179" t="s">
        <v>1403</v>
      </c>
      <c r="K179" t="s">
        <v>1093</v>
      </c>
      <c r="L179" t="s">
        <v>440</v>
      </c>
      <c r="M179" t="s">
        <v>534</v>
      </c>
      <c r="N179" t="s">
        <v>534</v>
      </c>
      <c r="O179" t="s">
        <v>28</v>
      </c>
    </row>
    <row r="180" spans="1:15" x14ac:dyDescent="0.3">
      <c r="A180" t="s">
        <v>246</v>
      </c>
      <c r="B180" t="s">
        <v>13</v>
      </c>
      <c r="C180" s="25">
        <v>45577</v>
      </c>
      <c r="D180" t="s">
        <v>57</v>
      </c>
      <c r="E180" t="s">
        <v>58</v>
      </c>
      <c r="F180" t="s">
        <v>1404</v>
      </c>
      <c r="G180" t="s">
        <v>1405</v>
      </c>
      <c r="H180" t="s">
        <v>1406</v>
      </c>
      <c r="I180" t="s">
        <v>1407</v>
      </c>
      <c r="J180" t="s">
        <v>1408</v>
      </c>
      <c r="K180" t="s">
        <v>1409</v>
      </c>
      <c r="L180" t="s">
        <v>440</v>
      </c>
      <c r="M180" t="s">
        <v>534</v>
      </c>
      <c r="N180" t="s">
        <v>534</v>
      </c>
      <c r="O180" t="s">
        <v>34</v>
      </c>
    </row>
    <row r="181" spans="1:15" x14ac:dyDescent="0.3">
      <c r="A181" t="s">
        <v>247</v>
      </c>
      <c r="B181" t="s">
        <v>38</v>
      </c>
      <c r="C181" s="25">
        <v>45516</v>
      </c>
      <c r="D181" t="s">
        <v>57</v>
      </c>
      <c r="E181" t="s">
        <v>62</v>
      </c>
      <c r="F181" t="s">
        <v>1410</v>
      </c>
      <c r="G181" t="s">
        <v>1411</v>
      </c>
      <c r="H181" t="s">
        <v>1412</v>
      </c>
      <c r="I181" t="s">
        <v>1413</v>
      </c>
      <c r="J181" t="s">
        <v>1414</v>
      </c>
      <c r="K181" t="s">
        <v>872</v>
      </c>
      <c r="L181" t="s">
        <v>440</v>
      </c>
      <c r="M181" t="s">
        <v>534</v>
      </c>
      <c r="N181" t="s">
        <v>534</v>
      </c>
      <c r="O181" t="s">
        <v>34</v>
      </c>
    </row>
    <row r="182" spans="1:15" x14ac:dyDescent="0.3">
      <c r="A182" t="s">
        <v>249</v>
      </c>
      <c r="B182" t="s">
        <v>38</v>
      </c>
      <c r="C182" s="25">
        <v>45516</v>
      </c>
      <c r="D182" t="s">
        <v>20</v>
      </c>
      <c r="E182" t="s">
        <v>39</v>
      </c>
      <c r="F182" t="s">
        <v>1415</v>
      </c>
      <c r="G182" t="s">
        <v>1416</v>
      </c>
      <c r="H182" t="s">
        <v>1278</v>
      </c>
      <c r="I182" t="s">
        <v>1417</v>
      </c>
      <c r="J182" t="s">
        <v>1418</v>
      </c>
      <c r="K182" t="s">
        <v>721</v>
      </c>
      <c r="L182" t="s">
        <v>439</v>
      </c>
      <c r="M182" t="s">
        <v>534</v>
      </c>
      <c r="N182" t="s">
        <v>534</v>
      </c>
      <c r="O182" t="s">
        <v>34</v>
      </c>
    </row>
    <row r="183" spans="1:15" x14ac:dyDescent="0.3">
      <c r="A183" t="s">
        <v>250</v>
      </c>
      <c r="B183" t="s">
        <v>38</v>
      </c>
      <c r="C183" s="25">
        <v>45455</v>
      </c>
      <c r="D183" t="s">
        <v>45</v>
      </c>
      <c r="E183" t="s">
        <v>70</v>
      </c>
      <c r="F183" t="s">
        <v>1297</v>
      </c>
      <c r="G183" t="s">
        <v>1419</v>
      </c>
      <c r="H183" t="s">
        <v>1033</v>
      </c>
      <c r="I183" t="s">
        <v>1420</v>
      </c>
      <c r="J183" t="s">
        <v>1421</v>
      </c>
      <c r="K183" t="s">
        <v>554</v>
      </c>
      <c r="L183" t="s">
        <v>438</v>
      </c>
      <c r="M183" t="s">
        <v>534</v>
      </c>
      <c r="N183" t="s">
        <v>534</v>
      </c>
      <c r="O183" t="s">
        <v>30</v>
      </c>
    </row>
    <row r="184" spans="1:15" x14ac:dyDescent="0.3">
      <c r="A184" t="s">
        <v>251</v>
      </c>
      <c r="B184" t="s">
        <v>13</v>
      </c>
      <c r="C184" s="25">
        <v>45789</v>
      </c>
      <c r="D184" t="s">
        <v>53</v>
      </c>
      <c r="E184" t="s">
        <v>54</v>
      </c>
      <c r="F184" t="s">
        <v>1422</v>
      </c>
      <c r="G184" t="s">
        <v>1423</v>
      </c>
      <c r="H184" t="s">
        <v>1156</v>
      </c>
      <c r="I184" t="s">
        <v>1424</v>
      </c>
      <c r="J184" t="s">
        <v>1425</v>
      </c>
      <c r="K184" t="s">
        <v>1152</v>
      </c>
      <c r="L184" t="s">
        <v>439</v>
      </c>
      <c r="M184" t="s">
        <v>534</v>
      </c>
      <c r="N184" t="s">
        <v>534</v>
      </c>
      <c r="O184" t="s">
        <v>30</v>
      </c>
    </row>
    <row r="185" spans="1:15" x14ac:dyDescent="0.3">
      <c r="A185" t="s">
        <v>253</v>
      </c>
      <c r="B185" t="s">
        <v>38</v>
      </c>
      <c r="C185" s="25">
        <v>45700</v>
      </c>
      <c r="D185" t="s">
        <v>57</v>
      </c>
      <c r="E185" t="s">
        <v>62</v>
      </c>
      <c r="F185" t="s">
        <v>1426</v>
      </c>
      <c r="G185" t="s">
        <v>1427</v>
      </c>
      <c r="H185" t="s">
        <v>1428</v>
      </c>
      <c r="I185" t="s">
        <v>1429</v>
      </c>
      <c r="J185" t="s">
        <v>1430</v>
      </c>
      <c r="K185" t="s">
        <v>560</v>
      </c>
      <c r="L185" t="s">
        <v>439</v>
      </c>
      <c r="M185" t="s">
        <v>440</v>
      </c>
      <c r="N185" t="s">
        <v>441</v>
      </c>
      <c r="O185" t="s">
        <v>30</v>
      </c>
    </row>
    <row r="186" spans="1:15" x14ac:dyDescent="0.3">
      <c r="A186" t="s">
        <v>254</v>
      </c>
      <c r="B186" t="s">
        <v>18</v>
      </c>
      <c r="C186" s="25">
        <v>45669</v>
      </c>
      <c r="D186" t="s">
        <v>53</v>
      </c>
      <c r="E186" t="s">
        <v>87</v>
      </c>
      <c r="F186" t="s">
        <v>1431</v>
      </c>
      <c r="G186" t="s">
        <v>1432</v>
      </c>
      <c r="H186" t="s">
        <v>712</v>
      </c>
      <c r="I186" t="s">
        <v>1433</v>
      </c>
      <c r="J186" t="s">
        <v>1434</v>
      </c>
      <c r="K186" t="s">
        <v>824</v>
      </c>
      <c r="L186" t="s">
        <v>440</v>
      </c>
      <c r="M186" t="s">
        <v>534</v>
      </c>
      <c r="N186" t="s">
        <v>534</v>
      </c>
      <c r="O186" t="s">
        <v>28</v>
      </c>
    </row>
    <row r="187" spans="1:15" x14ac:dyDescent="0.3">
      <c r="A187" t="s">
        <v>255</v>
      </c>
      <c r="B187" t="s">
        <v>38</v>
      </c>
      <c r="C187" s="25">
        <v>45637</v>
      </c>
      <c r="D187" t="s">
        <v>14</v>
      </c>
      <c r="E187" t="s">
        <v>43</v>
      </c>
      <c r="F187" t="s">
        <v>1435</v>
      </c>
      <c r="G187" t="s">
        <v>1436</v>
      </c>
      <c r="H187" t="s">
        <v>1437</v>
      </c>
      <c r="I187" t="s">
        <v>1438</v>
      </c>
      <c r="J187" t="s">
        <v>1439</v>
      </c>
      <c r="K187" t="s">
        <v>679</v>
      </c>
      <c r="L187" t="s">
        <v>440</v>
      </c>
      <c r="M187" t="s">
        <v>534</v>
      </c>
      <c r="N187" t="s">
        <v>534</v>
      </c>
      <c r="O187" t="s">
        <v>30</v>
      </c>
    </row>
    <row r="188" spans="1:15" x14ac:dyDescent="0.3">
      <c r="A188" t="s">
        <v>256</v>
      </c>
      <c r="B188" t="s">
        <v>23</v>
      </c>
      <c r="C188" s="25">
        <v>45637</v>
      </c>
      <c r="D188" t="s">
        <v>45</v>
      </c>
      <c r="E188" t="s">
        <v>78</v>
      </c>
      <c r="F188" t="s">
        <v>1440</v>
      </c>
      <c r="G188" t="s">
        <v>931</v>
      </c>
      <c r="H188" t="s">
        <v>1070</v>
      </c>
      <c r="I188" t="s">
        <v>1441</v>
      </c>
      <c r="J188" t="s">
        <v>1442</v>
      </c>
      <c r="K188" t="s">
        <v>648</v>
      </c>
      <c r="L188" t="s">
        <v>439</v>
      </c>
      <c r="M188" t="s">
        <v>534</v>
      </c>
      <c r="N188" t="s">
        <v>534</v>
      </c>
      <c r="O188" t="s">
        <v>16</v>
      </c>
    </row>
    <row r="189" spans="1:15" x14ac:dyDescent="0.3">
      <c r="A189" t="s">
        <v>257</v>
      </c>
      <c r="B189" t="s">
        <v>18</v>
      </c>
      <c r="C189" s="25">
        <v>45576</v>
      </c>
      <c r="D189" t="s">
        <v>24</v>
      </c>
      <c r="E189" t="s">
        <v>33</v>
      </c>
      <c r="F189" t="s">
        <v>1075</v>
      </c>
      <c r="G189" t="s">
        <v>1042</v>
      </c>
      <c r="H189" t="s">
        <v>666</v>
      </c>
      <c r="I189" t="s">
        <v>1443</v>
      </c>
      <c r="J189" t="s">
        <v>1444</v>
      </c>
      <c r="K189" t="s">
        <v>1445</v>
      </c>
      <c r="L189" t="s">
        <v>438</v>
      </c>
      <c r="M189" t="s">
        <v>534</v>
      </c>
      <c r="N189" t="s">
        <v>534</v>
      </c>
      <c r="O189" t="s">
        <v>16</v>
      </c>
    </row>
    <row r="190" spans="1:15" x14ac:dyDescent="0.3">
      <c r="A190" t="s">
        <v>258</v>
      </c>
      <c r="B190" t="s">
        <v>23</v>
      </c>
      <c r="C190" s="25">
        <v>45546</v>
      </c>
      <c r="D190" t="s">
        <v>24</v>
      </c>
      <c r="E190" t="s">
        <v>25</v>
      </c>
      <c r="F190" t="s">
        <v>1446</v>
      </c>
      <c r="G190" t="s">
        <v>1447</v>
      </c>
      <c r="H190" t="s">
        <v>610</v>
      </c>
      <c r="I190" t="s">
        <v>1448</v>
      </c>
      <c r="J190" t="s">
        <v>1449</v>
      </c>
      <c r="K190" t="s">
        <v>1197</v>
      </c>
      <c r="L190" t="s">
        <v>440</v>
      </c>
      <c r="M190" t="s">
        <v>534</v>
      </c>
      <c r="N190" t="s">
        <v>534</v>
      </c>
      <c r="O190" t="s">
        <v>30</v>
      </c>
    </row>
    <row r="191" spans="1:15" x14ac:dyDescent="0.3">
      <c r="A191" t="s">
        <v>259</v>
      </c>
      <c r="B191" t="s">
        <v>38</v>
      </c>
      <c r="C191" s="25">
        <v>45515</v>
      </c>
      <c r="D191" t="s">
        <v>57</v>
      </c>
      <c r="E191" t="s">
        <v>62</v>
      </c>
      <c r="F191" t="s">
        <v>1450</v>
      </c>
      <c r="G191" t="s">
        <v>1451</v>
      </c>
      <c r="H191" t="s">
        <v>1452</v>
      </c>
      <c r="I191" t="s">
        <v>1453</v>
      </c>
      <c r="J191" t="s">
        <v>1454</v>
      </c>
      <c r="K191" t="s">
        <v>1455</v>
      </c>
      <c r="L191" t="s">
        <v>439</v>
      </c>
      <c r="M191" t="s">
        <v>534</v>
      </c>
      <c r="N191" t="s">
        <v>534</v>
      </c>
      <c r="O191" t="s">
        <v>28</v>
      </c>
    </row>
    <row r="192" spans="1:15" x14ac:dyDescent="0.3">
      <c r="A192" t="s">
        <v>260</v>
      </c>
      <c r="B192" t="s">
        <v>38</v>
      </c>
      <c r="C192" s="25">
        <v>45484</v>
      </c>
      <c r="D192" t="s">
        <v>45</v>
      </c>
      <c r="E192" t="s">
        <v>70</v>
      </c>
      <c r="F192" t="s">
        <v>1456</v>
      </c>
      <c r="G192" t="s">
        <v>1457</v>
      </c>
      <c r="H192" t="s">
        <v>1458</v>
      </c>
      <c r="I192" t="s">
        <v>1459</v>
      </c>
      <c r="J192" t="s">
        <v>1460</v>
      </c>
      <c r="K192" t="s">
        <v>1033</v>
      </c>
      <c r="L192" t="s">
        <v>440</v>
      </c>
      <c r="M192" t="s">
        <v>534</v>
      </c>
      <c r="N192" t="s">
        <v>534</v>
      </c>
      <c r="O192" t="s">
        <v>34</v>
      </c>
    </row>
    <row r="193" spans="1:15" x14ac:dyDescent="0.3">
      <c r="A193" t="s">
        <v>261</v>
      </c>
      <c r="B193" t="s">
        <v>18</v>
      </c>
      <c r="C193" s="25">
        <v>45454</v>
      </c>
      <c r="D193" t="s">
        <v>20</v>
      </c>
      <c r="E193" t="s">
        <v>21</v>
      </c>
      <c r="F193" t="s">
        <v>1461</v>
      </c>
      <c r="G193" t="s">
        <v>1462</v>
      </c>
      <c r="H193" t="s">
        <v>1463</v>
      </c>
      <c r="I193" t="s">
        <v>1464</v>
      </c>
      <c r="J193" t="s">
        <v>1465</v>
      </c>
      <c r="K193" t="s">
        <v>564</v>
      </c>
      <c r="L193" t="s">
        <v>439</v>
      </c>
      <c r="M193" t="s">
        <v>534</v>
      </c>
      <c r="N193" t="s">
        <v>534</v>
      </c>
      <c r="O193" t="s">
        <v>34</v>
      </c>
    </row>
    <row r="194" spans="1:15" x14ac:dyDescent="0.3">
      <c r="A194" t="s">
        <v>262</v>
      </c>
      <c r="B194" t="s">
        <v>18</v>
      </c>
      <c r="C194" s="25">
        <v>45454</v>
      </c>
      <c r="D194" t="s">
        <v>24</v>
      </c>
      <c r="E194" t="s">
        <v>33</v>
      </c>
      <c r="F194" t="s">
        <v>1466</v>
      </c>
      <c r="G194" t="s">
        <v>1467</v>
      </c>
      <c r="H194" t="s">
        <v>1288</v>
      </c>
      <c r="I194" t="s">
        <v>1468</v>
      </c>
      <c r="J194" t="s">
        <v>1469</v>
      </c>
      <c r="K194" t="s">
        <v>1204</v>
      </c>
      <c r="L194" t="s">
        <v>440</v>
      </c>
      <c r="M194" t="s">
        <v>534</v>
      </c>
      <c r="N194" t="s">
        <v>534</v>
      </c>
      <c r="O194" t="s">
        <v>16</v>
      </c>
    </row>
    <row r="195" spans="1:15" x14ac:dyDescent="0.3">
      <c r="A195" t="s">
        <v>263</v>
      </c>
      <c r="B195" t="s">
        <v>23</v>
      </c>
      <c r="C195" s="25">
        <v>45788</v>
      </c>
      <c r="D195" t="s">
        <v>24</v>
      </c>
      <c r="E195" t="s">
        <v>25</v>
      </c>
      <c r="F195" t="s">
        <v>1470</v>
      </c>
      <c r="G195" t="s">
        <v>1471</v>
      </c>
      <c r="H195" t="s">
        <v>625</v>
      </c>
      <c r="I195" t="s">
        <v>1472</v>
      </c>
      <c r="J195" t="s">
        <v>1473</v>
      </c>
      <c r="K195" t="s">
        <v>767</v>
      </c>
      <c r="L195" t="s">
        <v>439</v>
      </c>
      <c r="M195" t="s">
        <v>442</v>
      </c>
      <c r="N195" t="s">
        <v>534</v>
      </c>
      <c r="O195" t="s">
        <v>34</v>
      </c>
    </row>
    <row r="196" spans="1:15" x14ac:dyDescent="0.3">
      <c r="A196" t="s">
        <v>264</v>
      </c>
      <c r="B196" t="s">
        <v>18</v>
      </c>
      <c r="C196" s="25">
        <v>45727</v>
      </c>
      <c r="D196" t="s">
        <v>24</v>
      </c>
      <c r="E196" t="s">
        <v>33</v>
      </c>
      <c r="F196" t="s">
        <v>1474</v>
      </c>
      <c r="G196" t="s">
        <v>1475</v>
      </c>
      <c r="H196" t="s">
        <v>1025</v>
      </c>
      <c r="I196" t="s">
        <v>1476</v>
      </c>
      <c r="J196" t="s">
        <v>1477</v>
      </c>
      <c r="K196" t="s">
        <v>717</v>
      </c>
      <c r="L196" t="s">
        <v>439</v>
      </c>
      <c r="M196" t="s">
        <v>534</v>
      </c>
      <c r="N196" t="s">
        <v>534</v>
      </c>
      <c r="O196" t="s">
        <v>16</v>
      </c>
    </row>
    <row r="197" spans="1:15" x14ac:dyDescent="0.3">
      <c r="A197" t="s">
        <v>265</v>
      </c>
      <c r="B197" t="s">
        <v>23</v>
      </c>
      <c r="C197" s="25">
        <v>45727</v>
      </c>
      <c r="D197" t="s">
        <v>57</v>
      </c>
      <c r="E197" t="s">
        <v>64</v>
      </c>
      <c r="F197" t="s">
        <v>1478</v>
      </c>
      <c r="G197" t="s">
        <v>1049</v>
      </c>
      <c r="H197" t="s">
        <v>1479</v>
      </c>
      <c r="I197" t="s">
        <v>1480</v>
      </c>
      <c r="J197" t="s">
        <v>1481</v>
      </c>
      <c r="K197" t="s">
        <v>633</v>
      </c>
      <c r="L197" t="s">
        <v>439</v>
      </c>
      <c r="M197" t="s">
        <v>534</v>
      </c>
      <c r="N197" t="s">
        <v>534</v>
      </c>
    </row>
    <row r="198" spans="1:15" x14ac:dyDescent="0.3">
      <c r="A198" t="s">
        <v>266</v>
      </c>
      <c r="B198" t="s">
        <v>23</v>
      </c>
      <c r="C198" s="25">
        <v>45699</v>
      </c>
      <c r="D198" t="s">
        <v>14</v>
      </c>
      <c r="E198" t="s">
        <v>112</v>
      </c>
      <c r="F198" t="s">
        <v>1482</v>
      </c>
      <c r="G198" t="s">
        <v>555</v>
      </c>
      <c r="H198" t="s">
        <v>875</v>
      </c>
      <c r="I198" t="s">
        <v>1483</v>
      </c>
      <c r="J198" t="s">
        <v>1484</v>
      </c>
      <c r="K198" t="s">
        <v>1032</v>
      </c>
      <c r="L198" t="s">
        <v>439</v>
      </c>
      <c r="M198" t="s">
        <v>425</v>
      </c>
      <c r="N198" t="s">
        <v>534</v>
      </c>
      <c r="O198" t="s">
        <v>34</v>
      </c>
    </row>
    <row r="199" spans="1:15" x14ac:dyDescent="0.3">
      <c r="A199" t="s">
        <v>267</v>
      </c>
      <c r="B199" t="s">
        <v>38</v>
      </c>
      <c r="C199" s="25">
        <v>45668</v>
      </c>
      <c r="D199" t="s">
        <v>20</v>
      </c>
      <c r="E199" t="s">
        <v>39</v>
      </c>
      <c r="F199" t="s">
        <v>1485</v>
      </c>
      <c r="G199" t="s">
        <v>1486</v>
      </c>
      <c r="H199" t="s">
        <v>1357</v>
      </c>
      <c r="I199" t="s">
        <v>1487</v>
      </c>
      <c r="J199" t="s">
        <v>1488</v>
      </c>
      <c r="K199" t="s">
        <v>1489</v>
      </c>
      <c r="L199" t="s">
        <v>440</v>
      </c>
      <c r="M199" t="s">
        <v>534</v>
      </c>
      <c r="N199" t="s">
        <v>534</v>
      </c>
    </row>
    <row r="200" spans="1:15" x14ac:dyDescent="0.3">
      <c r="A200" t="s">
        <v>268</v>
      </c>
      <c r="B200" t="s">
        <v>23</v>
      </c>
      <c r="C200" s="25">
        <v>45545</v>
      </c>
      <c r="D200" t="s">
        <v>24</v>
      </c>
      <c r="E200" t="s">
        <v>25</v>
      </c>
      <c r="F200" t="s">
        <v>1490</v>
      </c>
      <c r="G200" t="s">
        <v>1159</v>
      </c>
      <c r="H200" t="s">
        <v>1458</v>
      </c>
      <c r="I200" t="s">
        <v>1491</v>
      </c>
      <c r="J200" t="s">
        <v>1492</v>
      </c>
      <c r="K200" t="s">
        <v>685</v>
      </c>
      <c r="L200" t="s">
        <v>438</v>
      </c>
      <c r="M200" t="s">
        <v>534</v>
      </c>
      <c r="N200" t="s">
        <v>534</v>
      </c>
    </row>
    <row r="201" spans="1:15" x14ac:dyDescent="0.3">
      <c r="A201" t="s">
        <v>269</v>
      </c>
      <c r="B201" t="s">
        <v>38</v>
      </c>
      <c r="C201" s="25">
        <v>45483</v>
      </c>
      <c r="D201" t="s">
        <v>20</v>
      </c>
      <c r="E201" t="s">
        <v>39</v>
      </c>
      <c r="F201" t="s">
        <v>1493</v>
      </c>
      <c r="G201" t="s">
        <v>1494</v>
      </c>
      <c r="H201" t="s">
        <v>584</v>
      </c>
      <c r="I201" t="s">
        <v>1495</v>
      </c>
      <c r="J201" t="s">
        <v>1496</v>
      </c>
      <c r="K201" t="s">
        <v>1394</v>
      </c>
      <c r="L201" t="s">
        <v>439</v>
      </c>
      <c r="M201" t="s">
        <v>534</v>
      </c>
      <c r="N201" t="s">
        <v>534</v>
      </c>
      <c r="O201" t="s">
        <v>30</v>
      </c>
    </row>
    <row r="202" spans="1:15" x14ac:dyDescent="0.3">
      <c r="A202" t="s">
        <v>270</v>
      </c>
      <c r="B202" t="s">
        <v>23</v>
      </c>
      <c r="C202" s="25">
        <v>45453</v>
      </c>
      <c r="D202" t="s">
        <v>57</v>
      </c>
      <c r="E202" t="s">
        <v>64</v>
      </c>
      <c r="F202" t="s">
        <v>1497</v>
      </c>
      <c r="G202" t="s">
        <v>1498</v>
      </c>
      <c r="H202" t="s">
        <v>1014</v>
      </c>
      <c r="I202" t="s">
        <v>1499</v>
      </c>
      <c r="J202" t="s">
        <v>1500</v>
      </c>
      <c r="K202" t="s">
        <v>824</v>
      </c>
      <c r="L202" t="s">
        <v>439</v>
      </c>
      <c r="M202" t="s">
        <v>534</v>
      </c>
      <c r="N202" t="s">
        <v>534</v>
      </c>
      <c r="O202" t="s">
        <v>34</v>
      </c>
    </row>
    <row r="203" spans="1:15" x14ac:dyDescent="0.3">
      <c r="A203" t="s">
        <v>272</v>
      </c>
      <c r="B203" t="s">
        <v>23</v>
      </c>
      <c r="C203" s="25">
        <v>45453</v>
      </c>
      <c r="D203" t="s">
        <v>57</v>
      </c>
      <c r="E203" t="s">
        <v>64</v>
      </c>
      <c r="F203" t="s">
        <v>1501</v>
      </c>
      <c r="G203" t="s">
        <v>1427</v>
      </c>
      <c r="H203" t="s">
        <v>1185</v>
      </c>
      <c r="I203" t="s">
        <v>1502</v>
      </c>
      <c r="J203" t="s">
        <v>1503</v>
      </c>
      <c r="K203" t="s">
        <v>821</v>
      </c>
      <c r="L203" t="s">
        <v>438</v>
      </c>
      <c r="M203" t="s">
        <v>534</v>
      </c>
      <c r="N203" t="s">
        <v>534</v>
      </c>
      <c r="O203" t="s">
        <v>34</v>
      </c>
    </row>
    <row r="204" spans="1:15" x14ac:dyDescent="0.3">
      <c r="A204" t="s">
        <v>273</v>
      </c>
      <c r="B204" t="s">
        <v>23</v>
      </c>
      <c r="C204" s="25">
        <v>45757</v>
      </c>
      <c r="D204" t="s">
        <v>20</v>
      </c>
      <c r="E204" t="s">
        <v>27</v>
      </c>
      <c r="F204" t="s">
        <v>1504</v>
      </c>
      <c r="G204" t="s">
        <v>1070</v>
      </c>
      <c r="H204" t="s">
        <v>1505</v>
      </c>
      <c r="I204" t="s">
        <v>1506</v>
      </c>
      <c r="J204" t="s">
        <v>1507</v>
      </c>
      <c r="K204" t="s">
        <v>1215</v>
      </c>
      <c r="L204" t="s">
        <v>440</v>
      </c>
      <c r="M204" t="s">
        <v>534</v>
      </c>
      <c r="N204" t="s">
        <v>534</v>
      </c>
    </row>
    <row r="205" spans="1:15" x14ac:dyDescent="0.3">
      <c r="A205" t="s">
        <v>274</v>
      </c>
      <c r="B205" t="s">
        <v>13</v>
      </c>
      <c r="C205" s="25">
        <v>45698</v>
      </c>
      <c r="D205" t="s">
        <v>14</v>
      </c>
      <c r="E205" t="s">
        <v>15</v>
      </c>
      <c r="F205" t="s">
        <v>1508</v>
      </c>
      <c r="G205" t="s">
        <v>827</v>
      </c>
      <c r="H205" t="s">
        <v>807</v>
      </c>
      <c r="I205" t="s">
        <v>1509</v>
      </c>
      <c r="J205" t="s">
        <v>1510</v>
      </c>
      <c r="K205" t="s">
        <v>1394</v>
      </c>
      <c r="L205" t="s">
        <v>440</v>
      </c>
      <c r="M205" t="s">
        <v>534</v>
      </c>
      <c r="N205" t="s">
        <v>534</v>
      </c>
    </row>
    <row r="206" spans="1:15" x14ac:dyDescent="0.3">
      <c r="A206" t="s">
        <v>276</v>
      </c>
      <c r="B206" t="s">
        <v>18</v>
      </c>
      <c r="C206" s="25">
        <v>45698</v>
      </c>
      <c r="D206" t="s">
        <v>45</v>
      </c>
      <c r="E206" t="s">
        <v>46</v>
      </c>
      <c r="F206" t="s">
        <v>1511</v>
      </c>
      <c r="G206" t="s">
        <v>773</v>
      </c>
      <c r="H206" t="s">
        <v>1419</v>
      </c>
      <c r="I206" t="s">
        <v>1512</v>
      </c>
      <c r="J206" t="s">
        <v>1513</v>
      </c>
      <c r="K206" t="s">
        <v>601</v>
      </c>
      <c r="L206" t="s">
        <v>439</v>
      </c>
      <c r="M206" t="s">
        <v>534</v>
      </c>
      <c r="N206" t="s">
        <v>534</v>
      </c>
      <c r="O206" t="s">
        <v>28</v>
      </c>
    </row>
    <row r="207" spans="1:15" x14ac:dyDescent="0.3">
      <c r="A207" t="s">
        <v>277</v>
      </c>
      <c r="B207" t="s">
        <v>23</v>
      </c>
      <c r="C207" s="25">
        <v>45667</v>
      </c>
      <c r="D207" t="s">
        <v>24</v>
      </c>
      <c r="E207" t="s">
        <v>25</v>
      </c>
      <c r="F207" t="s">
        <v>1514</v>
      </c>
      <c r="G207" t="s">
        <v>646</v>
      </c>
      <c r="H207" t="s">
        <v>1515</v>
      </c>
      <c r="I207" t="s">
        <v>1516</v>
      </c>
      <c r="J207" t="s">
        <v>1517</v>
      </c>
      <c r="K207" t="s">
        <v>1518</v>
      </c>
      <c r="L207" t="s">
        <v>440</v>
      </c>
      <c r="M207" t="s">
        <v>534</v>
      </c>
      <c r="N207" t="s">
        <v>534</v>
      </c>
    </row>
    <row r="208" spans="1:15" x14ac:dyDescent="0.3">
      <c r="A208" t="s">
        <v>279</v>
      </c>
      <c r="B208" t="s">
        <v>23</v>
      </c>
      <c r="C208" s="25">
        <v>45667</v>
      </c>
      <c r="D208" t="s">
        <v>24</v>
      </c>
      <c r="E208" t="s">
        <v>25</v>
      </c>
      <c r="F208" t="s">
        <v>1519</v>
      </c>
      <c r="G208" t="s">
        <v>1520</v>
      </c>
      <c r="H208" t="s">
        <v>1261</v>
      </c>
      <c r="I208" t="s">
        <v>1521</v>
      </c>
      <c r="J208" t="s">
        <v>1522</v>
      </c>
      <c r="K208" t="s">
        <v>939</v>
      </c>
      <c r="L208" t="s">
        <v>438</v>
      </c>
      <c r="M208" t="s">
        <v>534</v>
      </c>
      <c r="N208" t="s">
        <v>534</v>
      </c>
    </row>
    <row r="209" spans="1:15" x14ac:dyDescent="0.3">
      <c r="A209" t="s">
        <v>280</v>
      </c>
      <c r="B209" t="s">
        <v>18</v>
      </c>
      <c r="C209" s="25">
        <v>45635</v>
      </c>
      <c r="D209" t="s">
        <v>24</v>
      </c>
      <c r="E209" t="s">
        <v>33</v>
      </c>
      <c r="F209" t="s">
        <v>1523</v>
      </c>
      <c r="G209" t="s">
        <v>1524</v>
      </c>
      <c r="H209" t="s">
        <v>1525</v>
      </c>
      <c r="I209" t="s">
        <v>1526</v>
      </c>
      <c r="J209" t="s">
        <v>1527</v>
      </c>
      <c r="K209" t="s">
        <v>1528</v>
      </c>
      <c r="L209" t="s">
        <v>438</v>
      </c>
      <c r="M209" t="s">
        <v>534</v>
      </c>
      <c r="N209" t="s">
        <v>534</v>
      </c>
      <c r="O209" t="s">
        <v>34</v>
      </c>
    </row>
    <row r="210" spans="1:15" x14ac:dyDescent="0.3">
      <c r="A210" t="s">
        <v>282</v>
      </c>
      <c r="B210" t="s">
        <v>38</v>
      </c>
      <c r="C210" s="25">
        <v>45574</v>
      </c>
      <c r="D210" t="s">
        <v>20</v>
      </c>
      <c r="E210" t="s">
        <v>39</v>
      </c>
      <c r="F210" t="s">
        <v>1529</v>
      </c>
      <c r="G210" t="s">
        <v>923</v>
      </c>
      <c r="H210" t="s">
        <v>1530</v>
      </c>
      <c r="I210" t="s">
        <v>1531</v>
      </c>
      <c r="J210" t="s">
        <v>1532</v>
      </c>
      <c r="K210" t="s">
        <v>738</v>
      </c>
      <c r="L210" t="s">
        <v>440</v>
      </c>
      <c r="M210" t="s">
        <v>534</v>
      </c>
      <c r="N210" t="s">
        <v>534</v>
      </c>
      <c r="O210" t="s">
        <v>16</v>
      </c>
    </row>
    <row r="211" spans="1:15" x14ac:dyDescent="0.3">
      <c r="A211" t="s">
        <v>283</v>
      </c>
      <c r="B211" t="s">
        <v>38</v>
      </c>
      <c r="C211" s="25">
        <v>45574</v>
      </c>
      <c r="D211" t="s">
        <v>20</v>
      </c>
      <c r="E211" t="s">
        <v>39</v>
      </c>
      <c r="F211" t="s">
        <v>1533</v>
      </c>
      <c r="G211" t="s">
        <v>1534</v>
      </c>
      <c r="H211" t="s">
        <v>1168</v>
      </c>
      <c r="I211" t="s">
        <v>1535</v>
      </c>
      <c r="J211" t="s">
        <v>1536</v>
      </c>
      <c r="K211" t="s">
        <v>703</v>
      </c>
      <c r="L211" t="s">
        <v>438</v>
      </c>
      <c r="M211" t="s">
        <v>534</v>
      </c>
      <c r="N211" t="s">
        <v>534</v>
      </c>
      <c r="O211" t="s">
        <v>34</v>
      </c>
    </row>
    <row r="212" spans="1:15" x14ac:dyDescent="0.3">
      <c r="A212" t="s">
        <v>284</v>
      </c>
      <c r="B212" t="s">
        <v>38</v>
      </c>
      <c r="C212" s="25">
        <v>45544</v>
      </c>
      <c r="D212" t="s">
        <v>20</v>
      </c>
      <c r="E212" t="s">
        <v>39</v>
      </c>
      <c r="F212" t="s">
        <v>1537</v>
      </c>
      <c r="G212" t="s">
        <v>818</v>
      </c>
      <c r="H212" t="s">
        <v>1538</v>
      </c>
      <c r="I212" t="s">
        <v>1539</v>
      </c>
      <c r="J212" t="s">
        <v>1540</v>
      </c>
      <c r="K212" t="s">
        <v>1455</v>
      </c>
      <c r="L212" t="s">
        <v>439</v>
      </c>
      <c r="M212" t="s">
        <v>534</v>
      </c>
      <c r="N212" t="s">
        <v>534</v>
      </c>
      <c r="O212" t="s">
        <v>28</v>
      </c>
    </row>
    <row r="213" spans="1:15" x14ac:dyDescent="0.3">
      <c r="A213" t="s">
        <v>286</v>
      </c>
      <c r="B213" t="s">
        <v>23</v>
      </c>
      <c r="C213" s="25">
        <v>45786</v>
      </c>
      <c r="D213" t="s">
        <v>53</v>
      </c>
      <c r="E213" t="s">
        <v>83</v>
      </c>
      <c r="F213" t="s">
        <v>1541</v>
      </c>
      <c r="G213" t="s">
        <v>1542</v>
      </c>
      <c r="H213" t="s">
        <v>1073</v>
      </c>
      <c r="I213" t="s">
        <v>1543</v>
      </c>
      <c r="J213" t="s">
        <v>1544</v>
      </c>
      <c r="K213" t="s">
        <v>1357</v>
      </c>
      <c r="L213" t="s">
        <v>438</v>
      </c>
      <c r="M213" t="s">
        <v>534</v>
      </c>
      <c r="N213" t="s">
        <v>534</v>
      </c>
      <c r="O213" t="s">
        <v>16</v>
      </c>
    </row>
    <row r="214" spans="1:15" x14ac:dyDescent="0.3">
      <c r="A214" t="s">
        <v>287</v>
      </c>
      <c r="B214" t="s">
        <v>38</v>
      </c>
      <c r="C214" s="25">
        <v>45634</v>
      </c>
      <c r="D214" t="s">
        <v>57</v>
      </c>
      <c r="E214" t="s">
        <v>62</v>
      </c>
      <c r="F214" t="s">
        <v>1545</v>
      </c>
      <c r="G214" t="s">
        <v>1546</v>
      </c>
      <c r="H214" t="s">
        <v>1248</v>
      </c>
      <c r="I214" t="s">
        <v>1547</v>
      </c>
      <c r="J214" t="s">
        <v>1548</v>
      </c>
      <c r="K214" t="s">
        <v>1549</v>
      </c>
      <c r="L214" t="s">
        <v>440</v>
      </c>
      <c r="M214" t="s">
        <v>534</v>
      </c>
      <c r="N214" t="s">
        <v>534</v>
      </c>
    </row>
    <row r="215" spans="1:15" x14ac:dyDescent="0.3">
      <c r="A215" t="s">
        <v>288</v>
      </c>
      <c r="B215" t="s">
        <v>38</v>
      </c>
      <c r="C215" s="25">
        <v>45604</v>
      </c>
      <c r="D215" t="s">
        <v>45</v>
      </c>
      <c r="E215" t="s">
        <v>70</v>
      </c>
      <c r="F215" t="s">
        <v>1550</v>
      </c>
      <c r="G215" t="s">
        <v>1551</v>
      </c>
      <c r="H215" t="s">
        <v>1445</v>
      </c>
      <c r="I215" t="s">
        <v>1552</v>
      </c>
      <c r="J215" t="s">
        <v>1553</v>
      </c>
      <c r="K215" t="s">
        <v>600</v>
      </c>
      <c r="L215" t="s">
        <v>438</v>
      </c>
      <c r="M215" t="s">
        <v>534</v>
      </c>
      <c r="N215" t="s">
        <v>534</v>
      </c>
      <c r="O215" t="s">
        <v>34</v>
      </c>
    </row>
    <row r="216" spans="1:15" x14ac:dyDescent="0.3">
      <c r="A216" t="s">
        <v>289</v>
      </c>
      <c r="B216" t="s">
        <v>18</v>
      </c>
      <c r="C216" s="25">
        <v>45573</v>
      </c>
      <c r="D216" t="s">
        <v>53</v>
      </c>
      <c r="E216" t="s">
        <v>87</v>
      </c>
      <c r="F216" t="s">
        <v>1554</v>
      </c>
      <c r="G216" t="s">
        <v>1555</v>
      </c>
      <c r="H216" t="s">
        <v>1411</v>
      </c>
      <c r="I216" t="s">
        <v>1556</v>
      </c>
      <c r="J216" t="s">
        <v>1557</v>
      </c>
      <c r="K216" t="s">
        <v>855</v>
      </c>
      <c r="L216" t="s">
        <v>438</v>
      </c>
      <c r="M216" t="s">
        <v>425</v>
      </c>
      <c r="N216" t="s">
        <v>534</v>
      </c>
      <c r="O216" t="s">
        <v>28</v>
      </c>
    </row>
    <row r="217" spans="1:15" x14ac:dyDescent="0.3">
      <c r="A217" t="s">
        <v>290</v>
      </c>
      <c r="B217" t="s">
        <v>23</v>
      </c>
      <c r="C217" s="25">
        <v>45543</v>
      </c>
      <c r="D217" t="s">
        <v>20</v>
      </c>
      <c r="E217" t="s">
        <v>27</v>
      </c>
      <c r="F217" t="s">
        <v>1558</v>
      </c>
      <c r="G217" t="s">
        <v>1559</v>
      </c>
      <c r="H217" t="s">
        <v>1560</v>
      </c>
      <c r="I217" t="s">
        <v>1561</v>
      </c>
      <c r="J217" t="s">
        <v>1562</v>
      </c>
      <c r="K217" t="s">
        <v>1563</v>
      </c>
      <c r="L217" t="s">
        <v>439</v>
      </c>
      <c r="M217" t="s">
        <v>534</v>
      </c>
      <c r="N217" t="s">
        <v>534</v>
      </c>
      <c r="O217" t="s">
        <v>34</v>
      </c>
    </row>
    <row r="218" spans="1:15" x14ac:dyDescent="0.3">
      <c r="A218" t="s">
        <v>291</v>
      </c>
      <c r="B218" t="s">
        <v>23</v>
      </c>
      <c r="C218" s="25">
        <v>45512</v>
      </c>
      <c r="D218" t="s">
        <v>57</v>
      </c>
      <c r="E218" t="s">
        <v>64</v>
      </c>
      <c r="F218" t="s">
        <v>1564</v>
      </c>
      <c r="G218" t="s">
        <v>816</v>
      </c>
      <c r="H218" t="s">
        <v>1565</v>
      </c>
      <c r="I218" t="s">
        <v>1566</v>
      </c>
      <c r="J218" t="s">
        <v>1567</v>
      </c>
      <c r="K218" t="s">
        <v>717</v>
      </c>
      <c r="L218" t="s">
        <v>438</v>
      </c>
      <c r="M218" t="s">
        <v>534</v>
      </c>
      <c r="N218" t="s">
        <v>534</v>
      </c>
      <c r="O218" t="s">
        <v>30</v>
      </c>
    </row>
    <row r="219" spans="1:15" x14ac:dyDescent="0.3">
      <c r="A219" t="s">
        <v>292</v>
      </c>
      <c r="B219" t="s">
        <v>38</v>
      </c>
      <c r="C219" s="25">
        <v>45755</v>
      </c>
      <c r="D219" t="s">
        <v>24</v>
      </c>
      <c r="E219" t="s">
        <v>85</v>
      </c>
      <c r="F219" t="s">
        <v>1568</v>
      </c>
      <c r="G219" t="s">
        <v>1569</v>
      </c>
      <c r="H219" t="s">
        <v>1570</v>
      </c>
      <c r="I219" t="s">
        <v>1571</v>
      </c>
      <c r="J219" t="s">
        <v>1572</v>
      </c>
      <c r="K219" t="s">
        <v>1573</v>
      </c>
      <c r="L219" t="s">
        <v>439</v>
      </c>
      <c r="M219" t="s">
        <v>534</v>
      </c>
      <c r="N219" t="s">
        <v>534</v>
      </c>
      <c r="O219" t="s">
        <v>16</v>
      </c>
    </row>
    <row r="220" spans="1:15" x14ac:dyDescent="0.3">
      <c r="A220" t="s">
        <v>293</v>
      </c>
      <c r="B220" t="s">
        <v>23</v>
      </c>
      <c r="C220" s="25">
        <v>45724</v>
      </c>
      <c r="D220" t="s">
        <v>45</v>
      </c>
      <c r="E220" t="s">
        <v>78</v>
      </c>
      <c r="F220" t="s">
        <v>1574</v>
      </c>
      <c r="G220" t="s">
        <v>1575</v>
      </c>
      <c r="H220" t="s">
        <v>1576</v>
      </c>
      <c r="I220" t="s">
        <v>1577</v>
      </c>
      <c r="J220" t="s">
        <v>1578</v>
      </c>
      <c r="K220" t="s">
        <v>1419</v>
      </c>
      <c r="L220" t="s">
        <v>438</v>
      </c>
      <c r="M220" t="s">
        <v>534</v>
      </c>
      <c r="N220" t="s">
        <v>534</v>
      </c>
      <c r="O220" t="s">
        <v>30</v>
      </c>
    </row>
    <row r="221" spans="1:15" x14ac:dyDescent="0.3">
      <c r="A221" t="s">
        <v>294</v>
      </c>
      <c r="B221" t="s">
        <v>18</v>
      </c>
      <c r="C221" s="25">
        <v>45724</v>
      </c>
      <c r="D221" t="s">
        <v>24</v>
      </c>
      <c r="E221" t="s">
        <v>33</v>
      </c>
      <c r="F221" t="s">
        <v>1579</v>
      </c>
      <c r="G221" t="s">
        <v>1285</v>
      </c>
      <c r="H221" t="s">
        <v>566</v>
      </c>
      <c r="I221" t="s">
        <v>1580</v>
      </c>
      <c r="J221" t="s">
        <v>1581</v>
      </c>
      <c r="K221" t="s">
        <v>646</v>
      </c>
      <c r="L221" t="s">
        <v>438</v>
      </c>
      <c r="M221" t="s">
        <v>534</v>
      </c>
      <c r="N221" t="s">
        <v>534</v>
      </c>
      <c r="O221" t="s">
        <v>34</v>
      </c>
    </row>
    <row r="222" spans="1:15" x14ac:dyDescent="0.3">
      <c r="A222" t="s">
        <v>295</v>
      </c>
      <c r="B222" t="s">
        <v>38</v>
      </c>
      <c r="C222" s="25">
        <v>45724</v>
      </c>
      <c r="D222" t="s">
        <v>53</v>
      </c>
      <c r="E222" t="s">
        <v>60</v>
      </c>
      <c r="F222" t="s">
        <v>1582</v>
      </c>
      <c r="G222" t="s">
        <v>823</v>
      </c>
      <c r="H222" t="s">
        <v>887</v>
      </c>
      <c r="I222" t="s">
        <v>1583</v>
      </c>
      <c r="J222" t="s">
        <v>1584</v>
      </c>
      <c r="K222" t="s">
        <v>1104</v>
      </c>
      <c r="L222" t="s">
        <v>438</v>
      </c>
      <c r="M222" t="s">
        <v>534</v>
      </c>
      <c r="N222" t="s">
        <v>534</v>
      </c>
      <c r="O222" t="s">
        <v>34</v>
      </c>
    </row>
    <row r="223" spans="1:15" x14ac:dyDescent="0.3">
      <c r="A223" t="s">
        <v>296</v>
      </c>
      <c r="B223" t="s">
        <v>38</v>
      </c>
      <c r="C223" s="25">
        <v>45603</v>
      </c>
      <c r="D223" t="s">
        <v>24</v>
      </c>
      <c r="E223" t="s">
        <v>85</v>
      </c>
      <c r="F223" t="s">
        <v>1585</v>
      </c>
      <c r="G223" t="s">
        <v>1586</v>
      </c>
      <c r="H223" t="s">
        <v>736</v>
      </c>
      <c r="I223" t="s">
        <v>1587</v>
      </c>
      <c r="J223" t="s">
        <v>1588</v>
      </c>
      <c r="K223" t="s">
        <v>1406</v>
      </c>
      <c r="L223" t="s">
        <v>438</v>
      </c>
      <c r="M223" t="s">
        <v>534</v>
      </c>
      <c r="N223" t="s">
        <v>534</v>
      </c>
      <c r="O223" t="s">
        <v>30</v>
      </c>
    </row>
    <row r="224" spans="1:15" x14ac:dyDescent="0.3">
      <c r="A224" t="s">
        <v>297</v>
      </c>
      <c r="B224" t="s">
        <v>23</v>
      </c>
      <c r="C224" s="25">
        <v>45603</v>
      </c>
      <c r="D224" t="s">
        <v>57</v>
      </c>
      <c r="E224" t="s">
        <v>64</v>
      </c>
      <c r="F224" t="s">
        <v>1589</v>
      </c>
      <c r="G224" t="s">
        <v>903</v>
      </c>
      <c r="H224" t="s">
        <v>1590</v>
      </c>
      <c r="I224" t="s">
        <v>1591</v>
      </c>
      <c r="J224" t="s">
        <v>1592</v>
      </c>
      <c r="K224" t="s">
        <v>712</v>
      </c>
      <c r="L224" t="s">
        <v>439</v>
      </c>
      <c r="M224" t="s">
        <v>534</v>
      </c>
      <c r="N224" t="s">
        <v>534</v>
      </c>
      <c r="O224" t="s">
        <v>34</v>
      </c>
    </row>
    <row r="225" spans="1:15" x14ac:dyDescent="0.3">
      <c r="A225" t="s">
        <v>298</v>
      </c>
      <c r="B225" t="s">
        <v>38</v>
      </c>
      <c r="C225" s="25">
        <v>45603</v>
      </c>
      <c r="D225" t="s">
        <v>14</v>
      </c>
      <c r="E225" t="s">
        <v>43</v>
      </c>
      <c r="F225" t="s">
        <v>610</v>
      </c>
      <c r="G225" t="s">
        <v>1593</v>
      </c>
      <c r="H225" t="s">
        <v>1594</v>
      </c>
      <c r="I225" t="s">
        <v>1595</v>
      </c>
      <c r="J225" t="s">
        <v>1596</v>
      </c>
      <c r="K225" t="s">
        <v>1215</v>
      </c>
      <c r="L225" t="s">
        <v>439</v>
      </c>
      <c r="M225" t="s">
        <v>534</v>
      </c>
      <c r="N225" t="s">
        <v>534</v>
      </c>
      <c r="O225" t="s">
        <v>34</v>
      </c>
    </row>
    <row r="226" spans="1:15" x14ac:dyDescent="0.3">
      <c r="A226" t="s">
        <v>299</v>
      </c>
      <c r="B226" t="s">
        <v>38</v>
      </c>
      <c r="C226" s="25">
        <v>45511</v>
      </c>
      <c r="D226" t="s">
        <v>20</v>
      </c>
      <c r="E226" t="s">
        <v>39</v>
      </c>
      <c r="F226" t="s">
        <v>1597</v>
      </c>
      <c r="G226" t="s">
        <v>1386</v>
      </c>
      <c r="H226" t="s">
        <v>1598</v>
      </c>
      <c r="I226" t="s">
        <v>1599</v>
      </c>
      <c r="J226" t="s">
        <v>1600</v>
      </c>
      <c r="K226" t="s">
        <v>896</v>
      </c>
      <c r="L226" t="s">
        <v>439</v>
      </c>
      <c r="M226" t="s">
        <v>534</v>
      </c>
      <c r="N226" t="s">
        <v>534</v>
      </c>
    </row>
    <row r="227" spans="1:15" x14ac:dyDescent="0.3">
      <c r="A227" t="s">
        <v>300</v>
      </c>
      <c r="B227" t="s">
        <v>18</v>
      </c>
      <c r="C227" s="25">
        <v>45480</v>
      </c>
      <c r="D227" t="s">
        <v>57</v>
      </c>
      <c r="E227" t="s">
        <v>106</v>
      </c>
      <c r="F227" t="s">
        <v>1542</v>
      </c>
      <c r="G227" t="s">
        <v>1025</v>
      </c>
      <c r="H227" t="s">
        <v>671</v>
      </c>
      <c r="I227" t="s">
        <v>1601</v>
      </c>
      <c r="J227" t="s">
        <v>1602</v>
      </c>
      <c r="K227" t="s">
        <v>1455</v>
      </c>
      <c r="L227" t="s">
        <v>439</v>
      </c>
      <c r="M227" t="s">
        <v>534</v>
      </c>
      <c r="N227" t="s">
        <v>534</v>
      </c>
      <c r="O227" t="s">
        <v>34</v>
      </c>
    </row>
    <row r="228" spans="1:15" x14ac:dyDescent="0.3">
      <c r="A228" t="s">
        <v>301</v>
      </c>
      <c r="B228" t="s">
        <v>18</v>
      </c>
      <c r="C228" s="25">
        <v>45480</v>
      </c>
      <c r="D228" t="s">
        <v>53</v>
      </c>
      <c r="E228" t="s">
        <v>87</v>
      </c>
      <c r="F228" t="s">
        <v>1603</v>
      </c>
      <c r="G228" t="s">
        <v>1236</v>
      </c>
      <c r="H228" t="s">
        <v>606</v>
      </c>
      <c r="I228" t="s">
        <v>1604</v>
      </c>
      <c r="J228" t="s">
        <v>1605</v>
      </c>
      <c r="K228" t="s">
        <v>1032</v>
      </c>
      <c r="L228" t="s">
        <v>440</v>
      </c>
      <c r="M228" t="s">
        <v>534</v>
      </c>
      <c r="N228" t="s">
        <v>534</v>
      </c>
      <c r="O228" t="s">
        <v>30</v>
      </c>
    </row>
    <row r="229" spans="1:15" x14ac:dyDescent="0.3">
      <c r="A229" t="s">
        <v>302</v>
      </c>
      <c r="B229" t="s">
        <v>23</v>
      </c>
      <c r="C229" s="25">
        <v>45450</v>
      </c>
      <c r="D229" t="s">
        <v>20</v>
      </c>
      <c r="E229" t="s">
        <v>27</v>
      </c>
      <c r="F229" t="s">
        <v>1606</v>
      </c>
      <c r="G229" t="s">
        <v>1234</v>
      </c>
      <c r="H229" t="s">
        <v>598</v>
      </c>
      <c r="I229" t="s">
        <v>1607</v>
      </c>
      <c r="J229" t="s">
        <v>1608</v>
      </c>
      <c r="K229" t="s">
        <v>923</v>
      </c>
      <c r="L229" t="s">
        <v>439</v>
      </c>
      <c r="M229" t="s">
        <v>534</v>
      </c>
      <c r="N229" t="s">
        <v>534</v>
      </c>
      <c r="O229" t="s">
        <v>16</v>
      </c>
    </row>
    <row r="230" spans="1:15" x14ac:dyDescent="0.3">
      <c r="A230" t="s">
        <v>303</v>
      </c>
      <c r="B230" t="s">
        <v>18</v>
      </c>
      <c r="C230" s="25">
        <v>45754</v>
      </c>
      <c r="D230" t="s">
        <v>53</v>
      </c>
      <c r="E230" t="s">
        <v>87</v>
      </c>
      <c r="F230" t="s">
        <v>1609</v>
      </c>
      <c r="G230" t="s">
        <v>1043</v>
      </c>
      <c r="H230" t="s">
        <v>1610</v>
      </c>
      <c r="I230" t="s">
        <v>1611</v>
      </c>
      <c r="J230" t="s">
        <v>1612</v>
      </c>
      <c r="K230" t="s">
        <v>1563</v>
      </c>
      <c r="L230" t="s">
        <v>439</v>
      </c>
      <c r="M230" t="s">
        <v>534</v>
      </c>
      <c r="N230" t="s">
        <v>534</v>
      </c>
      <c r="O230" t="s">
        <v>16</v>
      </c>
    </row>
    <row r="231" spans="1:15" x14ac:dyDescent="0.3">
      <c r="A231" t="s">
        <v>305</v>
      </c>
      <c r="B231" t="s">
        <v>23</v>
      </c>
      <c r="C231" s="25">
        <v>45723</v>
      </c>
      <c r="D231" t="s">
        <v>24</v>
      </c>
      <c r="E231" t="s">
        <v>25</v>
      </c>
      <c r="F231" t="s">
        <v>1613</v>
      </c>
      <c r="G231" t="s">
        <v>1614</v>
      </c>
      <c r="H231" t="s">
        <v>1615</v>
      </c>
      <c r="I231" t="s">
        <v>1616</v>
      </c>
      <c r="J231" t="s">
        <v>1617</v>
      </c>
      <c r="K231" t="s">
        <v>1038</v>
      </c>
      <c r="L231" t="s">
        <v>440</v>
      </c>
      <c r="M231" t="s">
        <v>534</v>
      </c>
      <c r="N231" t="s">
        <v>534</v>
      </c>
      <c r="O231" t="s">
        <v>34</v>
      </c>
    </row>
    <row r="232" spans="1:15" x14ac:dyDescent="0.3">
      <c r="A232" t="s">
        <v>306</v>
      </c>
      <c r="B232" t="s">
        <v>38</v>
      </c>
      <c r="C232" s="25">
        <v>45695</v>
      </c>
      <c r="D232" t="s">
        <v>53</v>
      </c>
      <c r="E232" t="s">
        <v>60</v>
      </c>
      <c r="F232" t="s">
        <v>1618</v>
      </c>
      <c r="G232" t="s">
        <v>1619</v>
      </c>
      <c r="H232" t="s">
        <v>1479</v>
      </c>
      <c r="I232" t="s">
        <v>1620</v>
      </c>
      <c r="J232" t="s">
        <v>1621</v>
      </c>
      <c r="K232" t="s">
        <v>781</v>
      </c>
      <c r="L232" t="s">
        <v>438</v>
      </c>
      <c r="M232" t="s">
        <v>534</v>
      </c>
      <c r="N232" t="s">
        <v>534</v>
      </c>
    </row>
    <row r="233" spans="1:15" x14ac:dyDescent="0.3">
      <c r="A233" t="s">
        <v>307</v>
      </c>
      <c r="B233" t="s">
        <v>18</v>
      </c>
      <c r="C233" s="25">
        <v>45602</v>
      </c>
      <c r="D233" t="s">
        <v>14</v>
      </c>
      <c r="E233" t="s">
        <v>36</v>
      </c>
      <c r="F233" t="s">
        <v>1622</v>
      </c>
      <c r="G233" t="s">
        <v>795</v>
      </c>
      <c r="H233" t="s">
        <v>1117</v>
      </c>
      <c r="I233" t="s">
        <v>1623</v>
      </c>
      <c r="J233" t="s">
        <v>1624</v>
      </c>
      <c r="K233" t="s">
        <v>1625</v>
      </c>
      <c r="L233" t="s">
        <v>440</v>
      </c>
      <c r="M233" t="s">
        <v>534</v>
      </c>
      <c r="N233" t="s">
        <v>534</v>
      </c>
      <c r="O233" t="s">
        <v>34</v>
      </c>
    </row>
    <row r="234" spans="1:15" x14ac:dyDescent="0.3">
      <c r="A234" t="s">
        <v>308</v>
      </c>
      <c r="B234" t="s">
        <v>18</v>
      </c>
      <c r="C234" s="25">
        <v>45602</v>
      </c>
      <c r="D234" t="s">
        <v>14</v>
      </c>
      <c r="E234" t="s">
        <v>36</v>
      </c>
      <c r="F234" t="s">
        <v>1626</v>
      </c>
      <c r="G234" t="s">
        <v>1627</v>
      </c>
      <c r="H234" t="s">
        <v>1628</v>
      </c>
      <c r="I234" t="s">
        <v>1629</v>
      </c>
      <c r="J234" t="s">
        <v>1630</v>
      </c>
      <c r="K234" t="s">
        <v>1117</v>
      </c>
      <c r="L234" t="s">
        <v>439</v>
      </c>
      <c r="M234" t="s">
        <v>442</v>
      </c>
      <c r="N234" t="s">
        <v>534</v>
      </c>
      <c r="O234" t="s">
        <v>16</v>
      </c>
    </row>
    <row r="235" spans="1:15" x14ac:dyDescent="0.3">
      <c r="A235" t="s">
        <v>309</v>
      </c>
      <c r="B235" t="s">
        <v>23</v>
      </c>
      <c r="C235" s="25">
        <v>45449</v>
      </c>
      <c r="D235" t="s">
        <v>14</v>
      </c>
      <c r="E235" t="s">
        <v>112</v>
      </c>
      <c r="F235" t="s">
        <v>1631</v>
      </c>
      <c r="G235" t="s">
        <v>1632</v>
      </c>
      <c r="H235" t="s">
        <v>1576</v>
      </c>
      <c r="I235" t="s">
        <v>1633</v>
      </c>
      <c r="J235" t="s">
        <v>1634</v>
      </c>
      <c r="K235" t="s">
        <v>1505</v>
      </c>
      <c r="L235" t="s">
        <v>438</v>
      </c>
      <c r="M235" t="s">
        <v>534</v>
      </c>
      <c r="N235" t="s">
        <v>534</v>
      </c>
      <c r="O235" t="s">
        <v>30</v>
      </c>
    </row>
    <row r="236" spans="1:15" x14ac:dyDescent="0.3">
      <c r="A236" t="s">
        <v>310</v>
      </c>
      <c r="B236" t="s">
        <v>13</v>
      </c>
      <c r="C236" s="25">
        <v>45449</v>
      </c>
      <c r="D236" t="s">
        <v>53</v>
      </c>
      <c r="E236" t="s">
        <v>54</v>
      </c>
      <c r="F236" t="s">
        <v>1635</v>
      </c>
      <c r="G236" t="s">
        <v>1636</v>
      </c>
      <c r="H236" t="s">
        <v>816</v>
      </c>
      <c r="I236" t="s">
        <v>1637</v>
      </c>
      <c r="J236" t="s">
        <v>1638</v>
      </c>
      <c r="K236" t="s">
        <v>923</v>
      </c>
      <c r="L236" t="s">
        <v>438</v>
      </c>
      <c r="M236" t="s">
        <v>534</v>
      </c>
      <c r="N236" t="s">
        <v>534</v>
      </c>
      <c r="O236" t="s">
        <v>16</v>
      </c>
    </row>
    <row r="237" spans="1:15" x14ac:dyDescent="0.3">
      <c r="A237" t="s">
        <v>311</v>
      </c>
      <c r="B237" t="s">
        <v>23</v>
      </c>
      <c r="C237" s="25">
        <v>45783</v>
      </c>
      <c r="D237" t="s">
        <v>24</v>
      </c>
      <c r="E237" t="s">
        <v>25</v>
      </c>
      <c r="F237" t="s">
        <v>1639</v>
      </c>
      <c r="G237" t="s">
        <v>838</v>
      </c>
      <c r="H237" t="s">
        <v>1168</v>
      </c>
      <c r="I237" t="s">
        <v>1640</v>
      </c>
      <c r="J237" t="s">
        <v>1641</v>
      </c>
      <c r="K237" t="s">
        <v>894</v>
      </c>
      <c r="L237" t="s">
        <v>438</v>
      </c>
      <c r="M237" t="s">
        <v>439</v>
      </c>
      <c r="N237" t="s">
        <v>442</v>
      </c>
      <c r="O237" t="s">
        <v>16</v>
      </c>
    </row>
    <row r="238" spans="1:15" x14ac:dyDescent="0.3">
      <c r="A238" t="s">
        <v>312</v>
      </c>
      <c r="B238" t="s">
        <v>18</v>
      </c>
      <c r="C238" s="25">
        <v>45783</v>
      </c>
      <c r="D238" t="s">
        <v>24</v>
      </c>
      <c r="E238" t="s">
        <v>33</v>
      </c>
      <c r="F238" t="s">
        <v>1642</v>
      </c>
      <c r="G238" t="s">
        <v>1643</v>
      </c>
      <c r="H238" t="s">
        <v>1325</v>
      </c>
      <c r="I238" t="s">
        <v>1644</v>
      </c>
      <c r="J238" t="s">
        <v>1645</v>
      </c>
      <c r="K238" t="s">
        <v>812</v>
      </c>
      <c r="L238" t="s">
        <v>440</v>
      </c>
      <c r="M238" t="s">
        <v>534</v>
      </c>
      <c r="N238" t="s">
        <v>534</v>
      </c>
      <c r="O238" t="s">
        <v>16</v>
      </c>
    </row>
    <row r="239" spans="1:15" x14ac:dyDescent="0.3">
      <c r="A239" t="s">
        <v>313</v>
      </c>
      <c r="B239" t="s">
        <v>18</v>
      </c>
      <c r="C239" s="25">
        <v>45753</v>
      </c>
      <c r="D239" t="s">
        <v>24</v>
      </c>
      <c r="E239" t="s">
        <v>33</v>
      </c>
      <c r="F239" t="s">
        <v>1646</v>
      </c>
      <c r="G239" t="s">
        <v>1647</v>
      </c>
      <c r="H239" t="s">
        <v>1648</v>
      </c>
      <c r="I239" t="s">
        <v>1649</v>
      </c>
      <c r="J239" t="s">
        <v>1650</v>
      </c>
      <c r="K239" t="s">
        <v>1215</v>
      </c>
      <c r="L239" t="s">
        <v>438</v>
      </c>
      <c r="M239" t="s">
        <v>534</v>
      </c>
      <c r="N239" t="s">
        <v>534</v>
      </c>
      <c r="O239" t="s">
        <v>28</v>
      </c>
    </row>
    <row r="240" spans="1:15" x14ac:dyDescent="0.3">
      <c r="A240" t="s">
        <v>314</v>
      </c>
      <c r="B240" t="s">
        <v>18</v>
      </c>
      <c r="C240" s="25">
        <v>45753</v>
      </c>
      <c r="D240" t="s">
        <v>24</v>
      </c>
      <c r="E240" t="s">
        <v>33</v>
      </c>
      <c r="F240" t="s">
        <v>1651</v>
      </c>
      <c r="G240" t="s">
        <v>910</v>
      </c>
      <c r="H240" t="s">
        <v>1386</v>
      </c>
      <c r="I240" t="s">
        <v>1652</v>
      </c>
      <c r="J240" t="s">
        <v>1653</v>
      </c>
      <c r="K240" t="s">
        <v>1455</v>
      </c>
      <c r="L240" t="s">
        <v>440</v>
      </c>
      <c r="M240" t="s">
        <v>440</v>
      </c>
      <c r="N240" t="s">
        <v>441</v>
      </c>
      <c r="O240" t="s">
        <v>16</v>
      </c>
    </row>
    <row r="241" spans="1:15" x14ac:dyDescent="0.3">
      <c r="A241" t="s">
        <v>315</v>
      </c>
      <c r="B241" t="s">
        <v>13</v>
      </c>
      <c r="C241" s="25">
        <v>45753</v>
      </c>
      <c r="D241" t="s">
        <v>20</v>
      </c>
      <c r="E241" t="s">
        <v>41</v>
      </c>
      <c r="F241" t="s">
        <v>1654</v>
      </c>
      <c r="G241" t="s">
        <v>1427</v>
      </c>
      <c r="H241" t="s">
        <v>1117</v>
      </c>
      <c r="I241" t="s">
        <v>1655</v>
      </c>
      <c r="J241" t="s">
        <v>1656</v>
      </c>
      <c r="K241" t="s">
        <v>1003</v>
      </c>
      <c r="L241" t="s">
        <v>440</v>
      </c>
      <c r="M241" t="s">
        <v>534</v>
      </c>
      <c r="N241" t="s">
        <v>534</v>
      </c>
      <c r="O241" t="s">
        <v>28</v>
      </c>
    </row>
    <row r="242" spans="1:15" x14ac:dyDescent="0.3">
      <c r="A242" t="s">
        <v>316</v>
      </c>
      <c r="B242" t="s">
        <v>23</v>
      </c>
      <c r="C242" s="25">
        <v>45722</v>
      </c>
      <c r="D242" t="s">
        <v>24</v>
      </c>
      <c r="E242" t="s">
        <v>25</v>
      </c>
      <c r="F242" t="s">
        <v>1657</v>
      </c>
      <c r="G242" t="s">
        <v>1658</v>
      </c>
      <c r="H242" t="s">
        <v>1569</v>
      </c>
      <c r="I242" t="s">
        <v>1659</v>
      </c>
      <c r="J242" t="s">
        <v>1660</v>
      </c>
      <c r="K242" t="s">
        <v>1112</v>
      </c>
      <c r="L242" t="s">
        <v>438</v>
      </c>
      <c r="M242" t="s">
        <v>534</v>
      </c>
      <c r="N242" t="s">
        <v>534</v>
      </c>
      <c r="O242" t="s">
        <v>34</v>
      </c>
    </row>
    <row r="243" spans="1:15" x14ac:dyDescent="0.3">
      <c r="A243" t="s">
        <v>317</v>
      </c>
      <c r="B243" t="s">
        <v>18</v>
      </c>
      <c r="C243" s="25">
        <v>45694</v>
      </c>
      <c r="D243" t="s">
        <v>24</v>
      </c>
      <c r="E243" t="s">
        <v>33</v>
      </c>
      <c r="F243" t="s">
        <v>1661</v>
      </c>
      <c r="G243" t="s">
        <v>1662</v>
      </c>
      <c r="H243" t="s">
        <v>1489</v>
      </c>
      <c r="I243" t="s">
        <v>1663</v>
      </c>
      <c r="J243" t="s">
        <v>1664</v>
      </c>
      <c r="K243" t="s">
        <v>1455</v>
      </c>
      <c r="L243" t="s">
        <v>439</v>
      </c>
      <c r="M243" t="s">
        <v>534</v>
      </c>
      <c r="N243" t="s">
        <v>534</v>
      </c>
      <c r="O243" t="s">
        <v>34</v>
      </c>
    </row>
    <row r="244" spans="1:15" x14ac:dyDescent="0.3">
      <c r="A244" t="s">
        <v>318</v>
      </c>
      <c r="B244" t="s">
        <v>18</v>
      </c>
      <c r="C244" s="25">
        <v>45663</v>
      </c>
      <c r="D244" t="s">
        <v>20</v>
      </c>
      <c r="E244" t="s">
        <v>21</v>
      </c>
      <c r="F244" t="s">
        <v>802</v>
      </c>
      <c r="G244" t="s">
        <v>1643</v>
      </c>
      <c r="H244" t="s">
        <v>1665</v>
      </c>
      <c r="I244" t="s">
        <v>1666</v>
      </c>
      <c r="J244" t="s">
        <v>1667</v>
      </c>
      <c r="K244" t="s">
        <v>1216</v>
      </c>
      <c r="L244" t="s">
        <v>440</v>
      </c>
      <c r="M244" t="s">
        <v>534</v>
      </c>
      <c r="N244" t="s">
        <v>534</v>
      </c>
      <c r="O244" t="s">
        <v>16</v>
      </c>
    </row>
    <row r="245" spans="1:15" x14ac:dyDescent="0.3">
      <c r="A245" t="s">
        <v>320</v>
      </c>
      <c r="B245" t="s">
        <v>23</v>
      </c>
      <c r="C245" s="25">
        <v>45631</v>
      </c>
      <c r="D245" t="s">
        <v>14</v>
      </c>
      <c r="E245" t="s">
        <v>112</v>
      </c>
      <c r="F245" t="s">
        <v>1668</v>
      </c>
      <c r="G245" t="s">
        <v>1643</v>
      </c>
      <c r="H245" t="s">
        <v>1625</v>
      </c>
      <c r="I245" t="s">
        <v>1669</v>
      </c>
      <c r="J245" t="s">
        <v>1670</v>
      </c>
      <c r="K245" t="s">
        <v>839</v>
      </c>
      <c r="L245" t="s">
        <v>438</v>
      </c>
      <c r="M245" t="s">
        <v>534</v>
      </c>
      <c r="N245" t="s">
        <v>534</v>
      </c>
      <c r="O245" t="s">
        <v>30</v>
      </c>
    </row>
    <row r="246" spans="1:15" x14ac:dyDescent="0.3">
      <c r="A246" t="s">
        <v>321</v>
      </c>
      <c r="B246" t="s">
        <v>38</v>
      </c>
      <c r="C246" s="25">
        <v>45601</v>
      </c>
      <c r="D246" t="s">
        <v>14</v>
      </c>
      <c r="E246" t="s">
        <v>43</v>
      </c>
      <c r="F246" t="s">
        <v>1671</v>
      </c>
      <c r="G246" t="s">
        <v>877</v>
      </c>
      <c r="H246" t="s">
        <v>1672</v>
      </c>
      <c r="I246" t="s">
        <v>1673</v>
      </c>
      <c r="J246" t="s">
        <v>1674</v>
      </c>
      <c r="K246" t="s">
        <v>549</v>
      </c>
      <c r="L246" t="s">
        <v>439</v>
      </c>
      <c r="M246" t="s">
        <v>534</v>
      </c>
      <c r="N246" t="s">
        <v>534</v>
      </c>
      <c r="O246" t="s">
        <v>16</v>
      </c>
    </row>
    <row r="247" spans="1:15" x14ac:dyDescent="0.3">
      <c r="A247" t="s">
        <v>322</v>
      </c>
      <c r="B247" t="s">
        <v>23</v>
      </c>
      <c r="C247" s="25">
        <v>45570</v>
      </c>
      <c r="D247" t="s">
        <v>57</v>
      </c>
      <c r="E247" t="s">
        <v>64</v>
      </c>
      <c r="F247" t="s">
        <v>1675</v>
      </c>
      <c r="G247" t="s">
        <v>1676</v>
      </c>
      <c r="H247" t="s">
        <v>1215</v>
      </c>
      <c r="I247" t="s">
        <v>1677</v>
      </c>
      <c r="J247" t="s">
        <v>1678</v>
      </c>
      <c r="K247" t="s">
        <v>1153</v>
      </c>
      <c r="L247" t="s">
        <v>438</v>
      </c>
      <c r="M247" t="s">
        <v>534</v>
      </c>
      <c r="N247" t="s">
        <v>534</v>
      </c>
      <c r="O247" t="s">
        <v>30</v>
      </c>
    </row>
    <row r="248" spans="1:15" x14ac:dyDescent="0.3">
      <c r="A248" t="s">
        <v>323</v>
      </c>
      <c r="B248" t="s">
        <v>23</v>
      </c>
      <c r="C248" s="25">
        <v>45540</v>
      </c>
      <c r="D248" t="s">
        <v>14</v>
      </c>
      <c r="E248" t="s">
        <v>112</v>
      </c>
      <c r="F248" t="s">
        <v>1679</v>
      </c>
      <c r="G248" t="s">
        <v>1179</v>
      </c>
      <c r="H248" t="s">
        <v>1680</v>
      </c>
      <c r="I248" t="s">
        <v>1681</v>
      </c>
      <c r="J248" t="s">
        <v>1682</v>
      </c>
      <c r="K248" t="s">
        <v>1683</v>
      </c>
      <c r="L248" t="s">
        <v>439</v>
      </c>
      <c r="M248" t="s">
        <v>534</v>
      </c>
      <c r="N248" t="s">
        <v>534</v>
      </c>
      <c r="O248" t="s">
        <v>28</v>
      </c>
    </row>
    <row r="249" spans="1:15" x14ac:dyDescent="0.3">
      <c r="A249" t="s">
        <v>324</v>
      </c>
      <c r="B249" t="s">
        <v>38</v>
      </c>
      <c r="C249" s="25">
        <v>45509</v>
      </c>
      <c r="D249" t="s">
        <v>57</v>
      </c>
      <c r="E249" t="s">
        <v>62</v>
      </c>
      <c r="F249" t="s">
        <v>1684</v>
      </c>
      <c r="G249" t="s">
        <v>1685</v>
      </c>
      <c r="H249" t="s">
        <v>1247</v>
      </c>
      <c r="I249" t="s">
        <v>1686</v>
      </c>
      <c r="J249" t="s">
        <v>1687</v>
      </c>
      <c r="K249" t="s">
        <v>1222</v>
      </c>
      <c r="L249" t="s">
        <v>440</v>
      </c>
      <c r="M249" t="s">
        <v>534</v>
      </c>
      <c r="N249" t="s">
        <v>534</v>
      </c>
      <c r="O249" t="s">
        <v>16</v>
      </c>
    </row>
    <row r="250" spans="1:15" x14ac:dyDescent="0.3">
      <c r="A250" t="s">
        <v>326</v>
      </c>
      <c r="B250" t="s">
        <v>18</v>
      </c>
      <c r="C250" s="25">
        <v>45509</v>
      </c>
      <c r="D250" t="s">
        <v>53</v>
      </c>
      <c r="E250" t="s">
        <v>87</v>
      </c>
      <c r="F250" t="s">
        <v>1597</v>
      </c>
      <c r="G250" t="s">
        <v>1688</v>
      </c>
      <c r="H250" t="s">
        <v>1228</v>
      </c>
      <c r="I250" t="s">
        <v>1689</v>
      </c>
      <c r="J250" t="s">
        <v>1690</v>
      </c>
      <c r="K250" t="s">
        <v>1691</v>
      </c>
      <c r="L250" t="s">
        <v>440</v>
      </c>
      <c r="M250" t="s">
        <v>534</v>
      </c>
      <c r="N250" t="s">
        <v>534</v>
      </c>
      <c r="O250" t="s">
        <v>30</v>
      </c>
    </row>
    <row r="251" spans="1:15" x14ac:dyDescent="0.3">
      <c r="A251" t="s">
        <v>327</v>
      </c>
      <c r="B251" t="s">
        <v>13</v>
      </c>
      <c r="C251" s="25">
        <v>45448</v>
      </c>
      <c r="D251" t="s">
        <v>53</v>
      </c>
      <c r="E251" t="s">
        <v>54</v>
      </c>
      <c r="F251" t="s">
        <v>1692</v>
      </c>
      <c r="G251" t="s">
        <v>1693</v>
      </c>
      <c r="H251" t="s">
        <v>721</v>
      </c>
      <c r="I251" t="s">
        <v>1694</v>
      </c>
      <c r="J251" t="s">
        <v>1695</v>
      </c>
      <c r="K251" t="s">
        <v>681</v>
      </c>
      <c r="L251" t="s">
        <v>440</v>
      </c>
      <c r="M251" t="s">
        <v>442</v>
      </c>
      <c r="N251" t="s">
        <v>534</v>
      </c>
    </row>
    <row r="252" spans="1:15" x14ac:dyDescent="0.3">
      <c r="A252" t="s">
        <v>328</v>
      </c>
      <c r="B252" t="s">
        <v>18</v>
      </c>
      <c r="C252" s="25">
        <v>45782</v>
      </c>
      <c r="D252" t="s">
        <v>45</v>
      </c>
      <c r="E252" t="s">
        <v>46</v>
      </c>
      <c r="F252" t="s">
        <v>1696</v>
      </c>
      <c r="G252" t="s">
        <v>1697</v>
      </c>
      <c r="H252" t="s">
        <v>784</v>
      </c>
      <c r="I252" t="s">
        <v>1698</v>
      </c>
      <c r="J252" t="s">
        <v>1699</v>
      </c>
      <c r="K252" t="s">
        <v>1700</v>
      </c>
      <c r="L252" t="s">
        <v>440</v>
      </c>
      <c r="M252" t="s">
        <v>534</v>
      </c>
      <c r="N252" t="s">
        <v>534</v>
      </c>
      <c r="O252" t="s">
        <v>34</v>
      </c>
    </row>
    <row r="253" spans="1:15" x14ac:dyDescent="0.3">
      <c r="A253" t="s">
        <v>330</v>
      </c>
      <c r="B253" t="s">
        <v>13</v>
      </c>
      <c r="C253" s="25">
        <v>45752</v>
      </c>
      <c r="D253" t="s">
        <v>53</v>
      </c>
      <c r="E253" t="s">
        <v>54</v>
      </c>
      <c r="F253" t="s">
        <v>1701</v>
      </c>
      <c r="G253" t="s">
        <v>1565</v>
      </c>
      <c r="H253" t="s">
        <v>1702</v>
      </c>
      <c r="I253" t="s">
        <v>1703</v>
      </c>
      <c r="J253" t="s">
        <v>1704</v>
      </c>
      <c r="K253" t="s">
        <v>1070</v>
      </c>
      <c r="L253" t="s">
        <v>438</v>
      </c>
      <c r="M253" t="s">
        <v>534</v>
      </c>
      <c r="N253" t="s">
        <v>534</v>
      </c>
      <c r="O253" t="s">
        <v>16</v>
      </c>
    </row>
    <row r="254" spans="1:15" x14ac:dyDescent="0.3">
      <c r="A254" t="s">
        <v>331</v>
      </c>
      <c r="B254" t="s">
        <v>13</v>
      </c>
      <c r="C254" s="25">
        <v>45721</v>
      </c>
      <c r="D254" t="s">
        <v>53</v>
      </c>
      <c r="E254" t="s">
        <v>54</v>
      </c>
      <c r="F254" t="s">
        <v>1705</v>
      </c>
      <c r="G254" t="s">
        <v>1706</v>
      </c>
      <c r="H254" t="s">
        <v>1707</v>
      </c>
      <c r="I254" t="s">
        <v>1708</v>
      </c>
      <c r="J254" t="s">
        <v>1709</v>
      </c>
      <c r="K254" t="s">
        <v>718</v>
      </c>
      <c r="L254" t="s">
        <v>440</v>
      </c>
      <c r="M254" t="s">
        <v>534</v>
      </c>
      <c r="N254" t="s">
        <v>534</v>
      </c>
    </row>
    <row r="255" spans="1:15" x14ac:dyDescent="0.3">
      <c r="A255" t="s">
        <v>332</v>
      </c>
      <c r="B255" t="s">
        <v>18</v>
      </c>
      <c r="C255" s="25">
        <v>45600</v>
      </c>
      <c r="D255" t="s">
        <v>24</v>
      </c>
      <c r="E255" t="s">
        <v>33</v>
      </c>
      <c r="F255" t="s">
        <v>1710</v>
      </c>
      <c r="G255" t="s">
        <v>1711</v>
      </c>
      <c r="H255" t="s">
        <v>1712</v>
      </c>
      <c r="I255" t="s">
        <v>1713</v>
      </c>
      <c r="J255" t="s">
        <v>1714</v>
      </c>
      <c r="K255" t="s">
        <v>1073</v>
      </c>
      <c r="L255" t="s">
        <v>438</v>
      </c>
      <c r="M255" t="s">
        <v>534</v>
      </c>
      <c r="N255" t="s">
        <v>534</v>
      </c>
      <c r="O255" t="s">
        <v>30</v>
      </c>
    </row>
    <row r="256" spans="1:15" x14ac:dyDescent="0.3">
      <c r="A256" t="s">
        <v>334</v>
      </c>
      <c r="B256" t="s">
        <v>23</v>
      </c>
      <c r="C256" s="25">
        <v>45600</v>
      </c>
      <c r="D256" t="s">
        <v>24</v>
      </c>
      <c r="E256" t="s">
        <v>25</v>
      </c>
      <c r="F256" t="s">
        <v>1626</v>
      </c>
      <c r="G256" t="s">
        <v>865</v>
      </c>
      <c r="H256" t="s">
        <v>1451</v>
      </c>
      <c r="I256" t="s">
        <v>1715</v>
      </c>
      <c r="J256" t="s">
        <v>1716</v>
      </c>
      <c r="K256" t="s">
        <v>1428</v>
      </c>
      <c r="L256" t="s">
        <v>440</v>
      </c>
      <c r="M256" t="s">
        <v>534</v>
      </c>
      <c r="N256" t="s">
        <v>534</v>
      </c>
      <c r="O256" t="s">
        <v>34</v>
      </c>
    </row>
    <row r="257" spans="1:15" x14ac:dyDescent="0.3">
      <c r="A257" t="s">
        <v>335</v>
      </c>
      <c r="B257" t="s">
        <v>23</v>
      </c>
      <c r="C257" s="25">
        <v>45569</v>
      </c>
      <c r="D257" t="s">
        <v>53</v>
      </c>
      <c r="E257" t="s">
        <v>83</v>
      </c>
      <c r="F257" t="s">
        <v>1717</v>
      </c>
      <c r="G257" t="s">
        <v>691</v>
      </c>
      <c r="H257" t="s">
        <v>1108</v>
      </c>
      <c r="I257" t="s">
        <v>1718</v>
      </c>
      <c r="J257" t="s">
        <v>1719</v>
      </c>
      <c r="K257" t="s">
        <v>1416</v>
      </c>
      <c r="L257" t="s">
        <v>438</v>
      </c>
      <c r="M257" t="s">
        <v>534</v>
      </c>
      <c r="N257" t="s">
        <v>534</v>
      </c>
    </row>
    <row r="258" spans="1:15" x14ac:dyDescent="0.3">
      <c r="A258" t="s">
        <v>336</v>
      </c>
      <c r="B258" t="s">
        <v>13</v>
      </c>
      <c r="C258" s="25">
        <v>45569</v>
      </c>
      <c r="D258" t="s">
        <v>45</v>
      </c>
      <c r="E258" t="s">
        <v>51</v>
      </c>
      <c r="F258" t="s">
        <v>1720</v>
      </c>
      <c r="G258" t="s">
        <v>1084</v>
      </c>
      <c r="H258" t="s">
        <v>1003</v>
      </c>
      <c r="I258" t="s">
        <v>1721</v>
      </c>
      <c r="J258" t="s">
        <v>1722</v>
      </c>
      <c r="K258" t="s">
        <v>795</v>
      </c>
      <c r="L258" t="s">
        <v>438</v>
      </c>
      <c r="M258" t="s">
        <v>534</v>
      </c>
      <c r="N258" t="s">
        <v>534</v>
      </c>
    </row>
    <row r="259" spans="1:15" x14ac:dyDescent="0.3">
      <c r="A259" t="s">
        <v>337</v>
      </c>
      <c r="B259" t="s">
        <v>38</v>
      </c>
      <c r="C259" s="25">
        <v>45720</v>
      </c>
      <c r="D259" t="s">
        <v>57</v>
      </c>
      <c r="E259" t="s">
        <v>62</v>
      </c>
      <c r="F259" t="s">
        <v>1723</v>
      </c>
      <c r="G259" t="s">
        <v>1724</v>
      </c>
      <c r="H259" t="s">
        <v>1725</v>
      </c>
      <c r="I259" t="s">
        <v>1726</v>
      </c>
      <c r="J259" t="s">
        <v>1727</v>
      </c>
      <c r="K259" t="s">
        <v>1211</v>
      </c>
      <c r="L259" t="s">
        <v>438</v>
      </c>
      <c r="M259" t="s">
        <v>534</v>
      </c>
      <c r="N259" t="s">
        <v>534</v>
      </c>
      <c r="O259" t="s">
        <v>16</v>
      </c>
    </row>
    <row r="260" spans="1:15" x14ac:dyDescent="0.3">
      <c r="A260" t="s">
        <v>338</v>
      </c>
      <c r="B260" t="s">
        <v>38</v>
      </c>
      <c r="C260" s="25">
        <v>45720</v>
      </c>
      <c r="D260" t="s">
        <v>14</v>
      </c>
      <c r="E260" t="s">
        <v>43</v>
      </c>
      <c r="F260" t="s">
        <v>800</v>
      </c>
      <c r="G260" t="s">
        <v>1728</v>
      </c>
      <c r="H260" t="s">
        <v>685</v>
      </c>
      <c r="I260" t="s">
        <v>1729</v>
      </c>
      <c r="J260" t="s">
        <v>1730</v>
      </c>
      <c r="K260" t="s">
        <v>1731</v>
      </c>
      <c r="L260" t="s">
        <v>438</v>
      </c>
      <c r="M260" t="s">
        <v>534</v>
      </c>
      <c r="N260" t="s">
        <v>534</v>
      </c>
      <c r="O260" t="s">
        <v>34</v>
      </c>
    </row>
    <row r="261" spans="1:15" x14ac:dyDescent="0.3">
      <c r="A261" t="s">
        <v>339</v>
      </c>
      <c r="B261" t="s">
        <v>18</v>
      </c>
      <c r="C261" s="25">
        <v>45720</v>
      </c>
      <c r="D261" t="s">
        <v>57</v>
      </c>
      <c r="E261" t="s">
        <v>106</v>
      </c>
      <c r="F261" t="s">
        <v>1732</v>
      </c>
      <c r="G261" t="s">
        <v>1733</v>
      </c>
      <c r="H261" t="s">
        <v>964</v>
      </c>
      <c r="I261" t="s">
        <v>1734</v>
      </c>
      <c r="J261" t="s">
        <v>1735</v>
      </c>
      <c r="K261" t="s">
        <v>724</v>
      </c>
      <c r="L261" t="s">
        <v>439</v>
      </c>
      <c r="M261" t="s">
        <v>534</v>
      </c>
      <c r="N261" t="s">
        <v>534</v>
      </c>
    </row>
    <row r="262" spans="1:15" x14ac:dyDescent="0.3">
      <c r="A262" t="s">
        <v>340</v>
      </c>
      <c r="B262" t="s">
        <v>38</v>
      </c>
      <c r="C262" s="25">
        <v>45692</v>
      </c>
      <c r="D262" t="s">
        <v>24</v>
      </c>
      <c r="E262" t="s">
        <v>85</v>
      </c>
      <c r="F262" t="s">
        <v>1736</v>
      </c>
      <c r="G262" t="s">
        <v>1737</v>
      </c>
      <c r="H262" t="s">
        <v>1738</v>
      </c>
      <c r="I262" t="s">
        <v>1739</v>
      </c>
      <c r="J262" t="s">
        <v>1740</v>
      </c>
      <c r="K262" t="s">
        <v>1648</v>
      </c>
      <c r="L262" t="s">
        <v>439</v>
      </c>
      <c r="M262" t="s">
        <v>534</v>
      </c>
      <c r="N262" t="s">
        <v>534</v>
      </c>
      <c r="O262" t="s">
        <v>34</v>
      </c>
    </row>
    <row r="263" spans="1:15" x14ac:dyDescent="0.3">
      <c r="A263" t="s">
        <v>341</v>
      </c>
      <c r="B263" t="s">
        <v>38</v>
      </c>
      <c r="C263" s="25">
        <v>45661</v>
      </c>
      <c r="D263" t="s">
        <v>53</v>
      </c>
      <c r="E263" t="s">
        <v>60</v>
      </c>
      <c r="F263" t="s">
        <v>1741</v>
      </c>
      <c r="G263" t="s">
        <v>829</v>
      </c>
      <c r="H263" t="s">
        <v>872</v>
      </c>
      <c r="I263" t="s">
        <v>1742</v>
      </c>
      <c r="J263" t="s">
        <v>1743</v>
      </c>
      <c r="K263" t="s">
        <v>1744</v>
      </c>
      <c r="L263" t="s">
        <v>438</v>
      </c>
      <c r="M263" t="s">
        <v>534</v>
      </c>
      <c r="N263" t="s">
        <v>534</v>
      </c>
      <c r="O263" t="s">
        <v>34</v>
      </c>
    </row>
    <row r="264" spans="1:15" x14ac:dyDescent="0.3">
      <c r="A264" t="s">
        <v>342</v>
      </c>
      <c r="B264" t="s">
        <v>13</v>
      </c>
      <c r="C264" s="25">
        <v>45629</v>
      </c>
      <c r="D264" t="s">
        <v>14</v>
      </c>
      <c r="E264" t="s">
        <v>15</v>
      </c>
      <c r="F264" t="s">
        <v>1745</v>
      </c>
      <c r="G264" t="s">
        <v>1746</v>
      </c>
      <c r="H264" t="s">
        <v>681</v>
      </c>
      <c r="I264" t="s">
        <v>1747</v>
      </c>
      <c r="J264" t="s">
        <v>1748</v>
      </c>
      <c r="K264" t="s">
        <v>1744</v>
      </c>
      <c r="L264" t="s">
        <v>440</v>
      </c>
      <c r="M264" t="s">
        <v>534</v>
      </c>
      <c r="N264" t="s">
        <v>534</v>
      </c>
      <c r="O264" t="s">
        <v>28</v>
      </c>
    </row>
    <row r="265" spans="1:15" x14ac:dyDescent="0.3">
      <c r="A265" t="s">
        <v>343</v>
      </c>
      <c r="B265" t="s">
        <v>13</v>
      </c>
      <c r="C265" s="25">
        <v>45629</v>
      </c>
      <c r="D265" t="s">
        <v>57</v>
      </c>
      <c r="E265" t="s">
        <v>58</v>
      </c>
      <c r="F265" t="s">
        <v>1749</v>
      </c>
      <c r="G265" t="s">
        <v>1750</v>
      </c>
      <c r="H265" t="s">
        <v>978</v>
      </c>
      <c r="I265" t="s">
        <v>1751</v>
      </c>
      <c r="J265" t="s">
        <v>1752</v>
      </c>
      <c r="K265" t="s">
        <v>877</v>
      </c>
      <c r="L265" t="s">
        <v>438</v>
      </c>
      <c r="M265" t="s">
        <v>534</v>
      </c>
      <c r="N265" t="s">
        <v>534</v>
      </c>
      <c r="O265" t="s">
        <v>30</v>
      </c>
    </row>
    <row r="266" spans="1:15" x14ac:dyDescent="0.3">
      <c r="A266" t="s">
        <v>344</v>
      </c>
      <c r="B266" t="s">
        <v>13</v>
      </c>
      <c r="C266" s="25">
        <v>45629</v>
      </c>
      <c r="D266" t="s">
        <v>45</v>
      </c>
      <c r="E266" t="s">
        <v>51</v>
      </c>
      <c r="F266" t="s">
        <v>1753</v>
      </c>
      <c r="G266" t="s">
        <v>1237</v>
      </c>
      <c r="H266" t="s">
        <v>1009</v>
      </c>
      <c r="I266" t="s">
        <v>1754</v>
      </c>
      <c r="J266" t="s">
        <v>1755</v>
      </c>
      <c r="K266" t="s">
        <v>934</v>
      </c>
      <c r="L266" t="s">
        <v>439</v>
      </c>
      <c r="M266" t="s">
        <v>534</v>
      </c>
      <c r="N266" t="s">
        <v>534</v>
      </c>
      <c r="O266" t="s">
        <v>28</v>
      </c>
    </row>
    <row r="267" spans="1:15" x14ac:dyDescent="0.3">
      <c r="A267" t="s">
        <v>345</v>
      </c>
      <c r="B267" t="s">
        <v>18</v>
      </c>
      <c r="C267" s="25">
        <v>45629</v>
      </c>
      <c r="D267" t="s">
        <v>24</v>
      </c>
      <c r="E267" t="s">
        <v>33</v>
      </c>
      <c r="F267" t="s">
        <v>1756</v>
      </c>
      <c r="G267" t="s">
        <v>1757</v>
      </c>
      <c r="H267" t="s">
        <v>648</v>
      </c>
      <c r="I267" t="s">
        <v>1758</v>
      </c>
      <c r="J267" t="s">
        <v>1759</v>
      </c>
      <c r="K267" t="s">
        <v>676</v>
      </c>
      <c r="L267" t="s">
        <v>439</v>
      </c>
      <c r="M267" t="s">
        <v>534</v>
      </c>
      <c r="N267" t="s">
        <v>534</v>
      </c>
    </row>
    <row r="268" spans="1:15" x14ac:dyDescent="0.3">
      <c r="A268" t="s">
        <v>346</v>
      </c>
      <c r="B268" t="s">
        <v>38</v>
      </c>
      <c r="C268" s="25">
        <v>45568</v>
      </c>
      <c r="D268" t="s">
        <v>14</v>
      </c>
      <c r="E268" t="s">
        <v>43</v>
      </c>
      <c r="F268" t="s">
        <v>1760</v>
      </c>
      <c r="G268" t="s">
        <v>1761</v>
      </c>
      <c r="H268" t="s">
        <v>1762</v>
      </c>
      <c r="I268" t="s">
        <v>1763</v>
      </c>
      <c r="J268" t="s">
        <v>1764</v>
      </c>
      <c r="K268" t="s">
        <v>1765</v>
      </c>
      <c r="L268" t="s">
        <v>438</v>
      </c>
      <c r="M268" t="s">
        <v>534</v>
      </c>
      <c r="N268" t="s">
        <v>534</v>
      </c>
      <c r="O268" t="s">
        <v>30</v>
      </c>
    </row>
    <row r="269" spans="1:15" x14ac:dyDescent="0.3">
      <c r="A269" t="s">
        <v>347</v>
      </c>
      <c r="B269" t="s">
        <v>23</v>
      </c>
      <c r="C269" s="25">
        <v>45507</v>
      </c>
      <c r="D269" t="s">
        <v>53</v>
      </c>
      <c r="E269" t="s">
        <v>83</v>
      </c>
      <c r="F269" t="s">
        <v>1766</v>
      </c>
      <c r="G269" t="s">
        <v>1767</v>
      </c>
      <c r="H269" t="s">
        <v>842</v>
      </c>
      <c r="I269" t="s">
        <v>1768</v>
      </c>
      <c r="J269" t="s">
        <v>1769</v>
      </c>
      <c r="K269" t="s">
        <v>1104</v>
      </c>
      <c r="L269" t="s">
        <v>440</v>
      </c>
      <c r="M269" t="s">
        <v>534</v>
      </c>
      <c r="N269" t="s">
        <v>534</v>
      </c>
    </row>
    <row r="270" spans="1:15" x14ac:dyDescent="0.3">
      <c r="A270" t="s">
        <v>348</v>
      </c>
      <c r="B270" t="s">
        <v>38</v>
      </c>
      <c r="C270" s="25">
        <v>45476</v>
      </c>
      <c r="D270" t="s">
        <v>20</v>
      </c>
      <c r="E270" t="s">
        <v>39</v>
      </c>
      <c r="F270" t="s">
        <v>1770</v>
      </c>
      <c r="G270" t="s">
        <v>1494</v>
      </c>
      <c r="H270" t="s">
        <v>715</v>
      </c>
      <c r="I270" t="s">
        <v>1771</v>
      </c>
      <c r="J270" t="s">
        <v>1772</v>
      </c>
      <c r="K270" t="s">
        <v>578</v>
      </c>
      <c r="L270" t="s">
        <v>439</v>
      </c>
      <c r="M270" t="s">
        <v>534</v>
      </c>
      <c r="N270" t="s">
        <v>534</v>
      </c>
    </row>
    <row r="271" spans="1:15" x14ac:dyDescent="0.3">
      <c r="A271" t="s">
        <v>349</v>
      </c>
      <c r="B271" t="s">
        <v>13</v>
      </c>
      <c r="C271" s="25">
        <v>45476</v>
      </c>
      <c r="D271" t="s">
        <v>57</v>
      </c>
      <c r="E271" t="s">
        <v>58</v>
      </c>
      <c r="F271" t="s">
        <v>1773</v>
      </c>
      <c r="G271" t="s">
        <v>1033</v>
      </c>
      <c r="H271" t="s">
        <v>1027</v>
      </c>
      <c r="I271" t="s">
        <v>750</v>
      </c>
      <c r="J271" t="s">
        <v>1774</v>
      </c>
      <c r="K271" t="s">
        <v>1295</v>
      </c>
      <c r="L271" t="s">
        <v>439</v>
      </c>
      <c r="M271" t="s">
        <v>534</v>
      </c>
      <c r="N271" t="s">
        <v>534</v>
      </c>
      <c r="O271" t="s">
        <v>30</v>
      </c>
    </row>
    <row r="272" spans="1:15" x14ac:dyDescent="0.3">
      <c r="A272" t="s">
        <v>350</v>
      </c>
      <c r="B272" t="s">
        <v>38</v>
      </c>
      <c r="C272" s="25">
        <v>45446</v>
      </c>
      <c r="D272" t="s">
        <v>24</v>
      </c>
      <c r="E272" t="s">
        <v>85</v>
      </c>
      <c r="F272" t="s">
        <v>1775</v>
      </c>
      <c r="G272" t="s">
        <v>693</v>
      </c>
      <c r="H272" t="s">
        <v>1725</v>
      </c>
      <c r="I272" t="s">
        <v>1776</v>
      </c>
      <c r="J272" t="s">
        <v>1777</v>
      </c>
      <c r="K272" t="s">
        <v>1153</v>
      </c>
      <c r="L272" t="s">
        <v>439</v>
      </c>
      <c r="M272" t="s">
        <v>534</v>
      </c>
      <c r="N272" t="s">
        <v>534</v>
      </c>
      <c r="O272" t="s">
        <v>34</v>
      </c>
    </row>
    <row r="273" spans="1:15" x14ac:dyDescent="0.3">
      <c r="A273" t="s">
        <v>352</v>
      </c>
      <c r="B273" t="s">
        <v>23</v>
      </c>
      <c r="C273" s="25">
        <v>45750</v>
      </c>
      <c r="D273" t="s">
        <v>45</v>
      </c>
      <c r="E273" t="s">
        <v>78</v>
      </c>
      <c r="F273" t="s">
        <v>1537</v>
      </c>
      <c r="G273" t="s">
        <v>1778</v>
      </c>
      <c r="H273" t="s">
        <v>706</v>
      </c>
      <c r="I273" t="s">
        <v>1779</v>
      </c>
      <c r="J273" t="s">
        <v>1780</v>
      </c>
      <c r="K273" t="s">
        <v>781</v>
      </c>
      <c r="L273" t="s">
        <v>439</v>
      </c>
      <c r="M273" t="s">
        <v>441</v>
      </c>
      <c r="N273" t="s">
        <v>534</v>
      </c>
      <c r="O273" t="s">
        <v>16</v>
      </c>
    </row>
    <row r="274" spans="1:15" x14ac:dyDescent="0.3">
      <c r="A274" t="s">
        <v>353</v>
      </c>
      <c r="B274" t="s">
        <v>18</v>
      </c>
      <c r="C274" s="25">
        <v>45750</v>
      </c>
      <c r="D274" t="s">
        <v>57</v>
      </c>
      <c r="E274" t="s">
        <v>106</v>
      </c>
      <c r="F274" t="s">
        <v>1781</v>
      </c>
      <c r="G274" t="s">
        <v>1782</v>
      </c>
      <c r="H274" t="s">
        <v>1215</v>
      </c>
      <c r="I274" t="s">
        <v>1783</v>
      </c>
      <c r="J274" t="s">
        <v>1784</v>
      </c>
      <c r="K274" t="s">
        <v>1405</v>
      </c>
      <c r="L274" t="s">
        <v>438</v>
      </c>
      <c r="M274" t="s">
        <v>534</v>
      </c>
      <c r="N274" t="s">
        <v>534</v>
      </c>
      <c r="O274" t="s">
        <v>34</v>
      </c>
    </row>
    <row r="275" spans="1:15" x14ac:dyDescent="0.3">
      <c r="A275" t="s">
        <v>354</v>
      </c>
      <c r="B275" t="s">
        <v>13</v>
      </c>
      <c r="C275" s="25">
        <v>45719</v>
      </c>
      <c r="D275" t="s">
        <v>14</v>
      </c>
      <c r="E275" t="s">
        <v>15</v>
      </c>
      <c r="F275" t="s">
        <v>1785</v>
      </c>
      <c r="G275" t="s">
        <v>1786</v>
      </c>
      <c r="H275" t="s">
        <v>1003</v>
      </c>
      <c r="I275" t="s">
        <v>1787</v>
      </c>
      <c r="J275" t="s">
        <v>1788</v>
      </c>
      <c r="K275" t="s">
        <v>1428</v>
      </c>
      <c r="L275" t="s">
        <v>439</v>
      </c>
      <c r="M275" t="s">
        <v>534</v>
      </c>
      <c r="N275" t="s">
        <v>534</v>
      </c>
      <c r="O275" t="s">
        <v>16</v>
      </c>
    </row>
    <row r="276" spans="1:15" x14ac:dyDescent="0.3">
      <c r="A276" t="s">
        <v>356</v>
      </c>
      <c r="B276" t="s">
        <v>13</v>
      </c>
      <c r="C276" s="25">
        <v>45719</v>
      </c>
      <c r="D276" t="s">
        <v>53</v>
      </c>
      <c r="E276" t="s">
        <v>54</v>
      </c>
      <c r="F276" t="s">
        <v>1409</v>
      </c>
      <c r="G276" t="s">
        <v>1173</v>
      </c>
      <c r="H276" t="s">
        <v>1789</v>
      </c>
      <c r="I276" t="s">
        <v>1790</v>
      </c>
      <c r="J276" t="s">
        <v>1791</v>
      </c>
      <c r="K276" t="s">
        <v>630</v>
      </c>
      <c r="L276" t="s">
        <v>440</v>
      </c>
      <c r="M276" t="s">
        <v>534</v>
      </c>
      <c r="N276" t="s">
        <v>534</v>
      </c>
      <c r="O276" t="s">
        <v>16</v>
      </c>
    </row>
    <row r="277" spans="1:15" x14ac:dyDescent="0.3">
      <c r="A277" t="s">
        <v>357</v>
      </c>
      <c r="B277" t="s">
        <v>18</v>
      </c>
      <c r="C277" s="25">
        <v>45660</v>
      </c>
      <c r="D277" t="s">
        <v>24</v>
      </c>
      <c r="E277" t="s">
        <v>33</v>
      </c>
      <c r="F277" t="s">
        <v>1792</v>
      </c>
      <c r="G277" t="s">
        <v>1793</v>
      </c>
      <c r="H277" t="s">
        <v>1665</v>
      </c>
      <c r="I277" t="s">
        <v>1794</v>
      </c>
      <c r="J277" t="s">
        <v>1795</v>
      </c>
      <c r="K277" t="s">
        <v>1796</v>
      </c>
      <c r="L277" t="s">
        <v>439</v>
      </c>
      <c r="M277" t="s">
        <v>534</v>
      </c>
      <c r="N277" t="s">
        <v>534</v>
      </c>
      <c r="O277" t="s">
        <v>34</v>
      </c>
    </row>
    <row r="278" spans="1:15" x14ac:dyDescent="0.3">
      <c r="A278" t="s">
        <v>358</v>
      </c>
      <c r="B278" t="s">
        <v>38</v>
      </c>
      <c r="C278" s="25">
        <v>45567</v>
      </c>
      <c r="D278" t="s">
        <v>45</v>
      </c>
      <c r="E278" t="s">
        <v>70</v>
      </c>
      <c r="F278" t="s">
        <v>1797</v>
      </c>
      <c r="G278" t="s">
        <v>1798</v>
      </c>
      <c r="H278" t="s">
        <v>685</v>
      </c>
      <c r="I278" t="s">
        <v>1799</v>
      </c>
      <c r="J278" t="s">
        <v>1800</v>
      </c>
      <c r="K278" t="s">
        <v>881</v>
      </c>
      <c r="L278" t="s">
        <v>440</v>
      </c>
      <c r="M278" t="s">
        <v>534</v>
      </c>
      <c r="N278" t="s">
        <v>534</v>
      </c>
      <c r="O278" t="s">
        <v>16</v>
      </c>
    </row>
    <row r="279" spans="1:15" x14ac:dyDescent="0.3">
      <c r="A279" t="s">
        <v>359</v>
      </c>
      <c r="B279" t="s">
        <v>13</v>
      </c>
      <c r="C279" s="25">
        <v>45567</v>
      </c>
      <c r="D279" t="s">
        <v>20</v>
      </c>
      <c r="E279" t="s">
        <v>41</v>
      </c>
      <c r="F279" t="s">
        <v>1801</v>
      </c>
      <c r="G279" t="s">
        <v>1273</v>
      </c>
      <c r="H279" t="s">
        <v>1801</v>
      </c>
      <c r="I279" t="s">
        <v>1802</v>
      </c>
      <c r="J279" t="s">
        <v>1099</v>
      </c>
      <c r="K279" t="s">
        <v>781</v>
      </c>
      <c r="L279" t="s">
        <v>439</v>
      </c>
      <c r="M279" t="s">
        <v>534</v>
      </c>
      <c r="N279" t="s">
        <v>534</v>
      </c>
      <c r="O279" t="s">
        <v>30</v>
      </c>
    </row>
    <row r="280" spans="1:15" x14ac:dyDescent="0.3">
      <c r="A280" t="s">
        <v>360</v>
      </c>
      <c r="B280" t="s">
        <v>23</v>
      </c>
      <c r="C280" s="25">
        <v>45567</v>
      </c>
      <c r="D280" t="s">
        <v>20</v>
      </c>
      <c r="E280" t="s">
        <v>27</v>
      </c>
      <c r="F280" t="s">
        <v>1803</v>
      </c>
      <c r="G280" t="s">
        <v>1067</v>
      </c>
      <c r="H280" t="s">
        <v>1804</v>
      </c>
      <c r="I280" t="s">
        <v>1805</v>
      </c>
      <c r="J280" t="s">
        <v>1806</v>
      </c>
      <c r="K280" t="s">
        <v>560</v>
      </c>
      <c r="L280" t="s">
        <v>440</v>
      </c>
      <c r="M280" t="s">
        <v>534</v>
      </c>
      <c r="N280" t="s">
        <v>534</v>
      </c>
      <c r="O280" t="s">
        <v>28</v>
      </c>
    </row>
    <row r="281" spans="1:15" x14ac:dyDescent="0.3">
      <c r="A281" t="s">
        <v>361</v>
      </c>
      <c r="B281" t="s">
        <v>13</v>
      </c>
      <c r="C281" s="25">
        <v>45567</v>
      </c>
      <c r="D281" t="s">
        <v>57</v>
      </c>
      <c r="E281" t="s">
        <v>58</v>
      </c>
      <c r="F281" t="s">
        <v>1807</v>
      </c>
      <c r="G281" t="s">
        <v>1427</v>
      </c>
      <c r="H281" t="s">
        <v>988</v>
      </c>
      <c r="I281" t="s">
        <v>1808</v>
      </c>
      <c r="J281" t="s">
        <v>1809</v>
      </c>
      <c r="K281" t="s">
        <v>1234</v>
      </c>
      <c r="L281" t="s">
        <v>440</v>
      </c>
      <c r="M281" t="s">
        <v>534</v>
      </c>
      <c r="N281" t="s">
        <v>534</v>
      </c>
      <c r="O281" t="s">
        <v>28</v>
      </c>
    </row>
    <row r="282" spans="1:15" x14ac:dyDescent="0.3">
      <c r="A282" t="s">
        <v>362</v>
      </c>
      <c r="B282" t="s">
        <v>13</v>
      </c>
      <c r="C282" s="25">
        <v>45537</v>
      </c>
      <c r="D282" t="s">
        <v>24</v>
      </c>
      <c r="E282" t="s">
        <v>138</v>
      </c>
      <c r="F282" t="s">
        <v>1810</v>
      </c>
      <c r="G282" t="s">
        <v>1811</v>
      </c>
      <c r="H282" t="s">
        <v>610</v>
      </c>
      <c r="I282" t="s">
        <v>1812</v>
      </c>
      <c r="J282" t="s">
        <v>1813</v>
      </c>
      <c r="K282" t="s">
        <v>891</v>
      </c>
      <c r="L282" t="s">
        <v>439</v>
      </c>
      <c r="M282" t="s">
        <v>534</v>
      </c>
      <c r="N282" t="s">
        <v>534</v>
      </c>
      <c r="O282" t="s">
        <v>16</v>
      </c>
    </row>
    <row r="283" spans="1:15" x14ac:dyDescent="0.3">
      <c r="A283" t="s">
        <v>364</v>
      </c>
      <c r="B283" t="s">
        <v>13</v>
      </c>
      <c r="C283" s="25">
        <v>45537</v>
      </c>
      <c r="D283" t="s">
        <v>20</v>
      </c>
      <c r="E283" t="s">
        <v>41</v>
      </c>
      <c r="F283" t="s">
        <v>1814</v>
      </c>
      <c r="G283" t="s">
        <v>1815</v>
      </c>
      <c r="H283" t="s">
        <v>1104</v>
      </c>
      <c r="I283" t="s">
        <v>1816</v>
      </c>
      <c r="J283" t="s">
        <v>1817</v>
      </c>
      <c r="K283" t="s">
        <v>1818</v>
      </c>
      <c r="L283" t="s">
        <v>439</v>
      </c>
      <c r="M283" t="s">
        <v>534</v>
      </c>
      <c r="N283" t="s">
        <v>534</v>
      </c>
      <c r="O283" t="s">
        <v>16</v>
      </c>
    </row>
    <row r="284" spans="1:15" x14ac:dyDescent="0.3">
      <c r="A284" t="s">
        <v>365</v>
      </c>
      <c r="B284" t="s">
        <v>13</v>
      </c>
      <c r="C284" s="25">
        <v>45475</v>
      </c>
      <c r="D284" t="s">
        <v>20</v>
      </c>
      <c r="E284" t="s">
        <v>41</v>
      </c>
      <c r="F284" t="s">
        <v>1819</v>
      </c>
      <c r="G284" t="s">
        <v>1820</v>
      </c>
      <c r="H284" t="s">
        <v>1821</v>
      </c>
      <c r="I284" t="s">
        <v>1822</v>
      </c>
      <c r="J284" t="s">
        <v>1823</v>
      </c>
      <c r="K284" t="s">
        <v>570</v>
      </c>
      <c r="L284" t="s">
        <v>438</v>
      </c>
      <c r="M284" t="s">
        <v>534</v>
      </c>
      <c r="N284" t="s">
        <v>534</v>
      </c>
      <c r="O284" t="s">
        <v>30</v>
      </c>
    </row>
    <row r="285" spans="1:15" x14ac:dyDescent="0.3">
      <c r="A285" t="s">
        <v>366</v>
      </c>
      <c r="B285" t="s">
        <v>18</v>
      </c>
      <c r="C285" s="25">
        <v>45445</v>
      </c>
      <c r="D285" t="s">
        <v>24</v>
      </c>
      <c r="E285" t="s">
        <v>33</v>
      </c>
      <c r="F285" t="s">
        <v>1824</v>
      </c>
      <c r="G285" t="s">
        <v>1398</v>
      </c>
      <c r="H285" t="s">
        <v>1825</v>
      </c>
      <c r="I285" t="s">
        <v>1826</v>
      </c>
      <c r="J285" t="s">
        <v>1827</v>
      </c>
      <c r="K285" t="s">
        <v>1248</v>
      </c>
      <c r="L285" t="s">
        <v>440</v>
      </c>
      <c r="M285" t="s">
        <v>534</v>
      </c>
      <c r="N285" t="s">
        <v>534</v>
      </c>
      <c r="O285" t="s">
        <v>30</v>
      </c>
    </row>
    <row r="286" spans="1:15" x14ac:dyDescent="0.3">
      <c r="A286" t="s">
        <v>367</v>
      </c>
      <c r="B286" t="s">
        <v>38</v>
      </c>
      <c r="C286" s="25">
        <v>45445</v>
      </c>
      <c r="D286" t="s">
        <v>57</v>
      </c>
      <c r="E286" t="s">
        <v>62</v>
      </c>
      <c r="F286" t="s">
        <v>727</v>
      </c>
      <c r="G286" t="s">
        <v>1828</v>
      </c>
      <c r="H286" t="s">
        <v>764</v>
      </c>
      <c r="I286" t="s">
        <v>1829</v>
      </c>
      <c r="J286" t="s">
        <v>739</v>
      </c>
      <c r="K286" t="s">
        <v>1182</v>
      </c>
      <c r="L286" t="s">
        <v>440</v>
      </c>
      <c r="M286" t="s">
        <v>534</v>
      </c>
      <c r="N286" t="s">
        <v>534</v>
      </c>
    </row>
    <row r="287" spans="1:15" x14ac:dyDescent="0.3">
      <c r="A287" t="s">
        <v>368</v>
      </c>
      <c r="B287" t="s">
        <v>23</v>
      </c>
      <c r="C287" s="25">
        <v>45779</v>
      </c>
      <c r="D287" t="s">
        <v>14</v>
      </c>
      <c r="E287" t="s">
        <v>112</v>
      </c>
      <c r="F287" t="s">
        <v>1830</v>
      </c>
      <c r="G287" t="s">
        <v>824</v>
      </c>
      <c r="H287" t="s">
        <v>1204</v>
      </c>
      <c r="I287" t="s">
        <v>1831</v>
      </c>
      <c r="J287" t="s">
        <v>1832</v>
      </c>
      <c r="K287" t="s">
        <v>1471</v>
      </c>
      <c r="L287" t="s">
        <v>439</v>
      </c>
      <c r="M287" t="s">
        <v>534</v>
      </c>
      <c r="N287" t="s">
        <v>534</v>
      </c>
      <c r="O287" t="s">
        <v>34</v>
      </c>
    </row>
    <row r="288" spans="1:15" x14ac:dyDescent="0.3">
      <c r="A288" t="s">
        <v>369</v>
      </c>
      <c r="B288" t="s">
        <v>18</v>
      </c>
      <c r="C288" s="25">
        <v>45749</v>
      </c>
      <c r="D288" t="s">
        <v>14</v>
      </c>
      <c r="E288" t="s">
        <v>36</v>
      </c>
      <c r="F288" t="s">
        <v>971</v>
      </c>
      <c r="G288" t="s">
        <v>1693</v>
      </c>
      <c r="H288" t="s">
        <v>1075</v>
      </c>
      <c r="I288" t="s">
        <v>1833</v>
      </c>
      <c r="J288" t="s">
        <v>1834</v>
      </c>
      <c r="K288" t="s">
        <v>931</v>
      </c>
      <c r="L288" t="s">
        <v>439</v>
      </c>
      <c r="M288" t="s">
        <v>534</v>
      </c>
      <c r="N288" t="s">
        <v>534</v>
      </c>
    </row>
    <row r="289" spans="1:15" x14ac:dyDescent="0.3">
      <c r="A289" t="s">
        <v>370</v>
      </c>
      <c r="B289" t="s">
        <v>23</v>
      </c>
      <c r="C289" s="25">
        <v>45718</v>
      </c>
      <c r="D289" t="s">
        <v>24</v>
      </c>
      <c r="E289" t="s">
        <v>25</v>
      </c>
      <c r="F289" t="s">
        <v>1835</v>
      </c>
      <c r="G289" t="s">
        <v>1264</v>
      </c>
      <c r="H289" t="s">
        <v>838</v>
      </c>
      <c r="I289" t="s">
        <v>1836</v>
      </c>
      <c r="J289" t="s">
        <v>1837</v>
      </c>
      <c r="K289" t="s">
        <v>1560</v>
      </c>
      <c r="L289" t="s">
        <v>439</v>
      </c>
      <c r="M289" t="s">
        <v>534</v>
      </c>
      <c r="N289" t="s">
        <v>534</v>
      </c>
    </row>
    <row r="290" spans="1:15" x14ac:dyDescent="0.3">
      <c r="A290" t="s">
        <v>371</v>
      </c>
      <c r="B290" t="s">
        <v>18</v>
      </c>
      <c r="C290" s="25">
        <v>45690</v>
      </c>
      <c r="D290" t="s">
        <v>57</v>
      </c>
      <c r="E290" t="s">
        <v>106</v>
      </c>
      <c r="F290" t="s">
        <v>1750</v>
      </c>
      <c r="G290" t="s">
        <v>1546</v>
      </c>
      <c r="H290" t="s">
        <v>926</v>
      </c>
      <c r="I290" t="s">
        <v>1838</v>
      </c>
      <c r="J290" t="s">
        <v>1839</v>
      </c>
      <c r="K290" t="s">
        <v>1204</v>
      </c>
      <c r="L290" t="s">
        <v>440</v>
      </c>
      <c r="M290" t="s">
        <v>534</v>
      </c>
      <c r="N290" t="s">
        <v>534</v>
      </c>
    </row>
    <row r="291" spans="1:15" x14ac:dyDescent="0.3">
      <c r="A291" t="s">
        <v>372</v>
      </c>
      <c r="B291" t="s">
        <v>38</v>
      </c>
      <c r="C291" s="25">
        <v>45690</v>
      </c>
      <c r="D291" t="s">
        <v>57</v>
      </c>
      <c r="E291" t="s">
        <v>62</v>
      </c>
      <c r="F291" t="s">
        <v>1840</v>
      </c>
      <c r="G291" t="s">
        <v>1841</v>
      </c>
      <c r="H291" t="s">
        <v>1842</v>
      </c>
      <c r="I291" t="s">
        <v>1843</v>
      </c>
      <c r="J291" t="s">
        <v>1844</v>
      </c>
      <c r="K291" t="s">
        <v>1683</v>
      </c>
      <c r="L291" t="s">
        <v>438</v>
      </c>
      <c r="M291" t="s">
        <v>534</v>
      </c>
      <c r="N291" t="s">
        <v>534</v>
      </c>
      <c r="O291" t="s">
        <v>34</v>
      </c>
    </row>
    <row r="292" spans="1:15" x14ac:dyDescent="0.3">
      <c r="A292" t="s">
        <v>373</v>
      </c>
      <c r="B292" t="s">
        <v>18</v>
      </c>
      <c r="C292" s="25">
        <v>45597</v>
      </c>
      <c r="D292" t="s">
        <v>14</v>
      </c>
      <c r="E292" t="s">
        <v>36</v>
      </c>
      <c r="F292" t="s">
        <v>1845</v>
      </c>
      <c r="G292" t="s">
        <v>1520</v>
      </c>
      <c r="H292" t="s">
        <v>1322</v>
      </c>
      <c r="I292" t="s">
        <v>1161</v>
      </c>
      <c r="J292" t="s">
        <v>1846</v>
      </c>
      <c r="K292" t="s">
        <v>1325</v>
      </c>
      <c r="L292" t="s">
        <v>438</v>
      </c>
      <c r="M292" t="s">
        <v>534</v>
      </c>
      <c r="N292" t="s">
        <v>534</v>
      </c>
      <c r="O292" t="s">
        <v>28</v>
      </c>
    </row>
    <row r="293" spans="1:15" x14ac:dyDescent="0.3">
      <c r="A293" t="s">
        <v>374</v>
      </c>
      <c r="B293" t="s">
        <v>38</v>
      </c>
      <c r="C293" s="25">
        <v>45505</v>
      </c>
      <c r="D293" t="s">
        <v>53</v>
      </c>
      <c r="E293" t="s">
        <v>60</v>
      </c>
      <c r="F293" t="s">
        <v>1847</v>
      </c>
      <c r="G293" t="s">
        <v>790</v>
      </c>
      <c r="H293" t="s">
        <v>573</v>
      </c>
      <c r="I293" t="s">
        <v>1848</v>
      </c>
      <c r="J293" t="s">
        <v>1849</v>
      </c>
      <c r="K293" t="s">
        <v>1528</v>
      </c>
      <c r="L293" t="s">
        <v>439</v>
      </c>
      <c r="M293" t="s">
        <v>534</v>
      </c>
      <c r="N293" t="s">
        <v>534</v>
      </c>
      <c r="O293" t="s">
        <v>34</v>
      </c>
    </row>
    <row r="294" spans="1:15" x14ac:dyDescent="0.3">
      <c r="A294" t="s">
        <v>375</v>
      </c>
      <c r="B294" t="s">
        <v>38</v>
      </c>
      <c r="C294" s="25">
        <v>45474</v>
      </c>
      <c r="D294" t="s">
        <v>57</v>
      </c>
      <c r="E294" t="s">
        <v>62</v>
      </c>
      <c r="F294" t="s">
        <v>1850</v>
      </c>
      <c r="G294" t="s">
        <v>1693</v>
      </c>
      <c r="H294" t="s">
        <v>1851</v>
      </c>
      <c r="I294" t="s">
        <v>1852</v>
      </c>
      <c r="J294" t="s">
        <v>1853</v>
      </c>
      <c r="K294" t="s">
        <v>1234</v>
      </c>
      <c r="L294" t="s">
        <v>440</v>
      </c>
      <c r="M294" t="s">
        <v>534</v>
      </c>
      <c r="N294" t="s">
        <v>534</v>
      </c>
      <c r="O294" t="s">
        <v>28</v>
      </c>
    </row>
    <row r="295" spans="1:15" x14ac:dyDescent="0.3">
      <c r="A295" t="s">
        <v>377</v>
      </c>
      <c r="B295" t="s">
        <v>18</v>
      </c>
      <c r="C295" s="25">
        <v>45444</v>
      </c>
      <c r="D295" t="s">
        <v>45</v>
      </c>
      <c r="E295" t="s">
        <v>46</v>
      </c>
      <c r="F295" t="s">
        <v>1854</v>
      </c>
      <c r="G295" t="s">
        <v>1855</v>
      </c>
      <c r="H295" t="s">
        <v>712</v>
      </c>
      <c r="I295" t="s">
        <v>1856</v>
      </c>
      <c r="J295" t="s">
        <v>1857</v>
      </c>
      <c r="K295" t="s">
        <v>1349</v>
      </c>
      <c r="L295" t="s">
        <v>439</v>
      </c>
      <c r="M295" t="s">
        <v>534</v>
      </c>
      <c r="N295" t="s">
        <v>534</v>
      </c>
    </row>
    <row r="296" spans="1:15" x14ac:dyDescent="0.3">
      <c r="A296" t="s">
        <v>378</v>
      </c>
      <c r="B296" t="s">
        <v>38</v>
      </c>
      <c r="C296" s="25">
        <v>45778</v>
      </c>
      <c r="D296" t="s">
        <v>45</v>
      </c>
      <c r="E296" t="s">
        <v>70</v>
      </c>
      <c r="F296" t="s">
        <v>1858</v>
      </c>
      <c r="G296" t="s">
        <v>978</v>
      </c>
      <c r="H296" t="s">
        <v>670</v>
      </c>
      <c r="I296" t="s">
        <v>1232</v>
      </c>
      <c r="J296" t="s">
        <v>1859</v>
      </c>
      <c r="K296" t="s">
        <v>697</v>
      </c>
      <c r="L296" t="s">
        <v>438</v>
      </c>
      <c r="M296" t="s">
        <v>534</v>
      </c>
      <c r="N296" t="s">
        <v>534</v>
      </c>
      <c r="O296" t="s">
        <v>28</v>
      </c>
    </row>
    <row r="297" spans="1:15" x14ac:dyDescent="0.3">
      <c r="A297" t="s">
        <v>379</v>
      </c>
      <c r="B297" t="s">
        <v>18</v>
      </c>
      <c r="C297" s="25">
        <v>45778</v>
      </c>
      <c r="D297" t="s">
        <v>20</v>
      </c>
      <c r="E297" t="s">
        <v>21</v>
      </c>
      <c r="F297" t="s">
        <v>1860</v>
      </c>
      <c r="G297" t="s">
        <v>1861</v>
      </c>
      <c r="H297" t="s">
        <v>1862</v>
      </c>
      <c r="I297" t="s">
        <v>1863</v>
      </c>
      <c r="J297" t="s">
        <v>1864</v>
      </c>
      <c r="K297" t="s">
        <v>1191</v>
      </c>
      <c r="L297" t="s">
        <v>440</v>
      </c>
      <c r="M297" t="s">
        <v>534</v>
      </c>
      <c r="N297" t="s">
        <v>534</v>
      </c>
      <c r="O297" t="s">
        <v>34</v>
      </c>
    </row>
    <row r="298" spans="1:15" x14ac:dyDescent="0.3">
      <c r="A298" t="s">
        <v>380</v>
      </c>
      <c r="B298" t="s">
        <v>18</v>
      </c>
      <c r="C298" s="25">
        <v>45748</v>
      </c>
      <c r="D298" t="s">
        <v>57</v>
      </c>
      <c r="E298" t="s">
        <v>106</v>
      </c>
      <c r="F298" t="s">
        <v>1865</v>
      </c>
      <c r="G298" t="s">
        <v>1866</v>
      </c>
      <c r="H298" t="s">
        <v>1386</v>
      </c>
      <c r="I298" t="s">
        <v>1867</v>
      </c>
      <c r="J298" t="s">
        <v>1868</v>
      </c>
      <c r="K298" t="s">
        <v>1869</v>
      </c>
      <c r="L298" t="s">
        <v>438</v>
      </c>
      <c r="M298" t="s">
        <v>534</v>
      </c>
      <c r="N298" t="s">
        <v>534</v>
      </c>
    </row>
    <row r="299" spans="1:15" x14ac:dyDescent="0.3">
      <c r="A299" t="s">
        <v>381</v>
      </c>
      <c r="B299" t="s">
        <v>23</v>
      </c>
      <c r="C299" s="25">
        <v>45658</v>
      </c>
      <c r="D299" t="s">
        <v>14</v>
      </c>
      <c r="E299" t="s">
        <v>112</v>
      </c>
      <c r="F299" t="s">
        <v>1400</v>
      </c>
      <c r="G299" t="s">
        <v>1505</v>
      </c>
      <c r="H299" t="s">
        <v>1163</v>
      </c>
      <c r="I299" t="s">
        <v>1870</v>
      </c>
      <c r="J299" t="s">
        <v>1871</v>
      </c>
      <c r="K299" t="s">
        <v>1204</v>
      </c>
      <c r="L299" t="s">
        <v>439</v>
      </c>
      <c r="M299" t="s">
        <v>534</v>
      </c>
      <c r="N299" t="s">
        <v>534</v>
      </c>
      <c r="O299" t="s">
        <v>30</v>
      </c>
    </row>
    <row r="300" spans="1:15" x14ac:dyDescent="0.3">
      <c r="A300" t="s">
        <v>382</v>
      </c>
      <c r="B300" t="s">
        <v>38</v>
      </c>
      <c r="C300" s="25">
        <v>45658</v>
      </c>
      <c r="D300" t="s">
        <v>20</v>
      </c>
      <c r="E300" t="s">
        <v>39</v>
      </c>
      <c r="F300" t="s">
        <v>1872</v>
      </c>
      <c r="G300" t="s">
        <v>1555</v>
      </c>
      <c r="H300" t="s">
        <v>800</v>
      </c>
      <c r="I300" t="s">
        <v>1873</v>
      </c>
      <c r="J300" t="s">
        <v>1874</v>
      </c>
      <c r="K300" t="s">
        <v>1875</v>
      </c>
      <c r="L300" t="s">
        <v>438</v>
      </c>
      <c r="M300" t="s">
        <v>534</v>
      </c>
      <c r="N300" t="s">
        <v>534</v>
      </c>
      <c r="O300" t="s">
        <v>30</v>
      </c>
    </row>
    <row r="301" spans="1:15" x14ac:dyDescent="0.3">
      <c r="A301" t="s">
        <v>383</v>
      </c>
      <c r="B301" t="s">
        <v>23</v>
      </c>
      <c r="C301" s="25">
        <v>45658</v>
      </c>
      <c r="D301" t="s">
        <v>20</v>
      </c>
      <c r="E301" t="s">
        <v>27</v>
      </c>
      <c r="F301" t="s">
        <v>1876</v>
      </c>
      <c r="G301" t="s">
        <v>1877</v>
      </c>
      <c r="H301" t="s">
        <v>1515</v>
      </c>
      <c r="I301" t="s">
        <v>1878</v>
      </c>
      <c r="J301" t="s">
        <v>1879</v>
      </c>
      <c r="K301" t="s">
        <v>625</v>
      </c>
      <c r="L301" t="s">
        <v>439</v>
      </c>
      <c r="M301" t="s">
        <v>534</v>
      </c>
      <c r="N301" t="s">
        <v>534</v>
      </c>
      <c r="O301" t="s">
        <v>34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83F78D-21A3-4025-A309-702FFC91EAB6}">
  <dimension ref="A1:K208"/>
  <sheetViews>
    <sheetView workbookViewId="0">
      <selection activeCell="E2" sqref="E2"/>
    </sheetView>
  </sheetViews>
  <sheetFormatPr defaultRowHeight="14.4" x14ac:dyDescent="0.3"/>
  <cols>
    <col min="1" max="1" width="15.77734375" bestFit="1" customWidth="1"/>
    <col min="2" max="2" width="9.109375" bestFit="1" customWidth="1"/>
    <col min="3" max="3" width="13.77734375" bestFit="1" customWidth="1"/>
    <col min="4" max="4" width="9.44140625" bestFit="1" customWidth="1"/>
    <col min="5" max="5" width="14.21875" bestFit="1" customWidth="1"/>
    <col min="6" max="6" width="16.44140625" bestFit="1" customWidth="1"/>
    <col min="7" max="7" width="9.6640625" bestFit="1" customWidth="1"/>
    <col min="8" max="8" width="10.6640625" bestFit="1" customWidth="1"/>
    <col min="10" max="10" width="14.33203125" bestFit="1" customWidth="1"/>
    <col min="11" max="11" width="20.44140625" bestFit="1" customWidth="1"/>
    <col min="12" max="59" width="15.5546875" bestFit="1" customWidth="1"/>
    <col min="60" max="60" width="10.77734375" bestFit="1" customWidth="1"/>
  </cols>
  <sheetData>
    <row r="1" spans="1:11" x14ac:dyDescent="0.3">
      <c r="A1" t="s">
        <v>384</v>
      </c>
      <c r="B1" t="s">
        <v>1</v>
      </c>
      <c r="C1" t="s">
        <v>385</v>
      </c>
      <c r="D1" t="s">
        <v>386</v>
      </c>
      <c r="E1" t="s">
        <v>387</v>
      </c>
      <c r="F1" t="s">
        <v>388</v>
      </c>
      <c r="G1" t="s">
        <v>389</v>
      </c>
      <c r="H1" t="s">
        <v>470</v>
      </c>
    </row>
    <row r="2" spans="1:11" x14ac:dyDescent="0.3">
      <c r="A2" s="9" t="s">
        <v>351</v>
      </c>
      <c r="B2" t="s">
        <v>18</v>
      </c>
      <c r="C2">
        <v>1312</v>
      </c>
      <c r="D2">
        <v>310</v>
      </c>
      <c r="E2">
        <v>42654</v>
      </c>
      <c r="F2">
        <v>4.9800000000000004</v>
      </c>
      <c r="G2">
        <v>9566</v>
      </c>
      <c r="H2">
        <v>-8254</v>
      </c>
    </row>
    <row r="3" spans="1:11" x14ac:dyDescent="0.3">
      <c r="A3" t="s">
        <v>271</v>
      </c>
      <c r="B3" t="s">
        <v>18</v>
      </c>
      <c r="C3">
        <v>1697</v>
      </c>
      <c r="D3">
        <v>414</v>
      </c>
      <c r="E3">
        <v>316555</v>
      </c>
      <c r="F3">
        <v>2.37</v>
      </c>
      <c r="G3">
        <v>7924</v>
      </c>
      <c r="H3">
        <v>-6227</v>
      </c>
      <c r="J3" s="5" t="s">
        <v>433</v>
      </c>
      <c r="K3" t="s">
        <v>471</v>
      </c>
    </row>
    <row r="4" spans="1:11" x14ac:dyDescent="0.3">
      <c r="A4" t="s">
        <v>206</v>
      </c>
      <c r="B4" t="s">
        <v>18</v>
      </c>
      <c r="C4">
        <v>1753</v>
      </c>
      <c r="D4">
        <v>371</v>
      </c>
      <c r="E4">
        <v>169496</v>
      </c>
      <c r="F4">
        <v>8.11</v>
      </c>
      <c r="G4">
        <v>46670</v>
      </c>
      <c r="H4">
        <v>-44917</v>
      </c>
      <c r="J4" s="6" t="s">
        <v>18</v>
      </c>
      <c r="K4">
        <v>-26573.54</v>
      </c>
    </row>
    <row r="5" spans="1:11" x14ac:dyDescent="0.3">
      <c r="A5" t="s">
        <v>122</v>
      </c>
      <c r="B5" t="s">
        <v>18</v>
      </c>
      <c r="C5">
        <v>1779</v>
      </c>
      <c r="D5">
        <v>109</v>
      </c>
      <c r="E5">
        <v>26295</v>
      </c>
      <c r="F5">
        <v>9.1199999999999992</v>
      </c>
      <c r="G5">
        <v>30635</v>
      </c>
      <c r="H5">
        <v>-28856</v>
      </c>
      <c r="J5" s="7" t="s">
        <v>376</v>
      </c>
      <c r="K5">
        <v>-41802</v>
      </c>
    </row>
    <row r="6" spans="1:11" x14ac:dyDescent="0.3">
      <c r="A6" t="s">
        <v>376</v>
      </c>
      <c r="B6" t="s">
        <v>18</v>
      </c>
      <c r="C6">
        <v>505</v>
      </c>
      <c r="D6">
        <v>441</v>
      </c>
      <c r="E6">
        <v>220020</v>
      </c>
      <c r="F6">
        <v>4.4800000000000004</v>
      </c>
      <c r="G6">
        <v>42307</v>
      </c>
      <c r="H6">
        <v>-41802</v>
      </c>
      <c r="J6" s="7" t="s">
        <v>363</v>
      </c>
      <c r="K6">
        <v>-22864</v>
      </c>
    </row>
    <row r="7" spans="1:11" x14ac:dyDescent="0.3">
      <c r="A7" t="s">
        <v>390</v>
      </c>
      <c r="B7" t="s">
        <v>18</v>
      </c>
      <c r="C7">
        <v>350</v>
      </c>
      <c r="D7">
        <v>41</v>
      </c>
      <c r="E7">
        <v>251694</v>
      </c>
      <c r="F7">
        <v>1.91</v>
      </c>
      <c r="G7">
        <v>38610</v>
      </c>
      <c r="H7">
        <v>-38260</v>
      </c>
      <c r="J7" s="7" t="s">
        <v>398</v>
      </c>
      <c r="K7">
        <v>-24201</v>
      </c>
    </row>
    <row r="8" spans="1:11" x14ac:dyDescent="0.3">
      <c r="A8" t="s">
        <v>222</v>
      </c>
      <c r="B8" t="s">
        <v>18</v>
      </c>
      <c r="C8">
        <v>170</v>
      </c>
      <c r="D8">
        <v>334</v>
      </c>
      <c r="E8">
        <v>334626</v>
      </c>
      <c r="F8">
        <v>6.44</v>
      </c>
      <c r="G8">
        <v>43420</v>
      </c>
      <c r="H8">
        <v>-43250</v>
      </c>
      <c r="J8" s="7" t="s">
        <v>402</v>
      </c>
      <c r="K8">
        <v>-39164</v>
      </c>
    </row>
    <row r="9" spans="1:11" x14ac:dyDescent="0.3">
      <c r="A9" t="s">
        <v>391</v>
      </c>
      <c r="B9" t="s">
        <v>18</v>
      </c>
      <c r="C9">
        <v>1391</v>
      </c>
      <c r="D9">
        <v>430</v>
      </c>
      <c r="E9">
        <v>295032</v>
      </c>
      <c r="F9">
        <v>7.86</v>
      </c>
      <c r="G9">
        <v>26067</v>
      </c>
      <c r="H9">
        <v>-24676</v>
      </c>
      <c r="J9" s="7" t="s">
        <v>355</v>
      </c>
      <c r="K9">
        <v>-20208</v>
      </c>
    </row>
    <row r="10" spans="1:11" x14ac:dyDescent="0.3">
      <c r="A10" t="s">
        <v>56</v>
      </c>
      <c r="B10" t="s">
        <v>18</v>
      </c>
      <c r="C10">
        <v>160</v>
      </c>
      <c r="D10">
        <v>478</v>
      </c>
      <c r="E10">
        <v>435034</v>
      </c>
      <c r="F10">
        <v>7.73</v>
      </c>
      <c r="G10">
        <v>4839</v>
      </c>
      <c r="H10">
        <v>-4679</v>
      </c>
      <c r="J10" s="7" t="s">
        <v>351</v>
      </c>
      <c r="K10">
        <v>-8254</v>
      </c>
    </row>
    <row r="11" spans="1:11" x14ac:dyDescent="0.3">
      <c r="A11" t="s">
        <v>325</v>
      </c>
      <c r="B11" t="s">
        <v>18</v>
      </c>
      <c r="C11">
        <v>214</v>
      </c>
      <c r="D11">
        <v>411</v>
      </c>
      <c r="E11">
        <v>125034</v>
      </c>
      <c r="F11">
        <v>6.11</v>
      </c>
      <c r="G11">
        <v>26455</v>
      </c>
      <c r="H11">
        <v>-26241</v>
      </c>
      <c r="J11" s="7" t="s">
        <v>333</v>
      </c>
      <c r="K11">
        <v>-4049</v>
      </c>
    </row>
    <row r="12" spans="1:11" x14ac:dyDescent="0.3">
      <c r="A12" t="s">
        <v>248</v>
      </c>
      <c r="B12" t="s">
        <v>18</v>
      </c>
      <c r="C12">
        <v>1534</v>
      </c>
      <c r="D12">
        <v>200</v>
      </c>
      <c r="E12">
        <v>307612</v>
      </c>
      <c r="F12">
        <v>6.01</v>
      </c>
      <c r="G12">
        <v>37903</v>
      </c>
      <c r="H12">
        <v>-36369</v>
      </c>
      <c r="J12" s="7" t="s">
        <v>329</v>
      </c>
      <c r="K12">
        <v>-48014</v>
      </c>
    </row>
    <row r="13" spans="1:11" x14ac:dyDescent="0.3">
      <c r="A13" t="s">
        <v>178</v>
      </c>
      <c r="B13" t="s">
        <v>18</v>
      </c>
      <c r="C13">
        <v>1078</v>
      </c>
      <c r="D13">
        <v>20</v>
      </c>
      <c r="E13">
        <v>183924</v>
      </c>
      <c r="F13">
        <v>8.84</v>
      </c>
      <c r="G13">
        <v>14203</v>
      </c>
      <c r="H13">
        <v>-13125</v>
      </c>
      <c r="J13" s="7" t="s">
        <v>325</v>
      </c>
      <c r="K13">
        <v>-26241</v>
      </c>
    </row>
    <row r="14" spans="1:11" x14ac:dyDescent="0.3">
      <c r="A14" t="s">
        <v>97</v>
      </c>
      <c r="B14" t="s">
        <v>18</v>
      </c>
      <c r="C14">
        <v>248</v>
      </c>
      <c r="D14">
        <v>211</v>
      </c>
      <c r="E14">
        <v>379380</v>
      </c>
      <c r="F14">
        <v>9.0399999999999991</v>
      </c>
      <c r="G14">
        <v>26925</v>
      </c>
      <c r="H14">
        <v>-26677</v>
      </c>
      <c r="J14" s="7" t="s">
        <v>319</v>
      </c>
      <c r="K14">
        <v>-17135</v>
      </c>
    </row>
    <row r="15" spans="1:11" x14ac:dyDescent="0.3">
      <c r="A15" t="s">
        <v>363</v>
      </c>
      <c r="B15" t="s">
        <v>18</v>
      </c>
      <c r="C15">
        <v>1520</v>
      </c>
      <c r="D15">
        <v>475</v>
      </c>
      <c r="E15">
        <v>496982</v>
      </c>
      <c r="F15">
        <v>6.41</v>
      </c>
      <c r="G15">
        <v>24384</v>
      </c>
      <c r="H15">
        <v>-22864</v>
      </c>
      <c r="J15" s="7" t="s">
        <v>304</v>
      </c>
      <c r="K15">
        <v>-46296</v>
      </c>
    </row>
    <row r="16" spans="1:11" x14ac:dyDescent="0.3">
      <c r="A16" t="s">
        <v>285</v>
      </c>
      <c r="B16" t="s">
        <v>18</v>
      </c>
      <c r="C16">
        <v>1842</v>
      </c>
      <c r="D16">
        <v>414</v>
      </c>
      <c r="E16">
        <v>307524</v>
      </c>
      <c r="F16">
        <v>1.76</v>
      </c>
      <c r="G16">
        <v>40478</v>
      </c>
      <c r="H16">
        <v>-38636</v>
      </c>
      <c r="J16" s="7" t="s">
        <v>395</v>
      </c>
      <c r="K16">
        <v>-41907</v>
      </c>
    </row>
    <row r="17" spans="1:11" x14ac:dyDescent="0.3">
      <c r="A17" t="s">
        <v>392</v>
      </c>
      <c r="B17" t="s">
        <v>18</v>
      </c>
      <c r="C17">
        <v>443</v>
      </c>
      <c r="D17">
        <v>345</v>
      </c>
      <c r="E17">
        <v>474162</v>
      </c>
      <c r="F17">
        <v>9.1999999999999993</v>
      </c>
      <c r="G17">
        <v>47462</v>
      </c>
      <c r="H17">
        <v>-47019</v>
      </c>
      <c r="J17" s="7" t="s">
        <v>390</v>
      </c>
      <c r="K17">
        <v>-38260</v>
      </c>
    </row>
    <row r="18" spans="1:11" x14ac:dyDescent="0.3">
      <c r="A18" t="s">
        <v>393</v>
      </c>
      <c r="B18" t="s">
        <v>18</v>
      </c>
      <c r="C18">
        <v>198</v>
      </c>
      <c r="D18">
        <v>217</v>
      </c>
      <c r="E18">
        <v>239753</v>
      </c>
      <c r="F18">
        <v>7.36</v>
      </c>
      <c r="G18">
        <v>11901</v>
      </c>
      <c r="H18">
        <v>-11703</v>
      </c>
      <c r="J18" s="7" t="s">
        <v>285</v>
      </c>
      <c r="K18">
        <v>-38636</v>
      </c>
    </row>
    <row r="19" spans="1:11" x14ac:dyDescent="0.3">
      <c r="A19" t="s">
        <v>394</v>
      </c>
      <c r="B19" t="s">
        <v>18</v>
      </c>
      <c r="C19">
        <v>250</v>
      </c>
      <c r="D19">
        <v>429</v>
      </c>
      <c r="E19">
        <v>453423</v>
      </c>
      <c r="F19">
        <v>1.77</v>
      </c>
      <c r="G19">
        <v>2315</v>
      </c>
      <c r="H19">
        <v>-2065</v>
      </c>
      <c r="J19" s="7" t="s">
        <v>281</v>
      </c>
      <c r="K19">
        <v>-17087</v>
      </c>
    </row>
    <row r="20" spans="1:11" x14ac:dyDescent="0.3">
      <c r="A20" t="s">
        <v>395</v>
      </c>
      <c r="B20" t="s">
        <v>18</v>
      </c>
      <c r="C20">
        <v>1929</v>
      </c>
      <c r="D20">
        <v>267</v>
      </c>
      <c r="E20">
        <v>379363</v>
      </c>
      <c r="F20">
        <v>1.75</v>
      </c>
      <c r="G20">
        <v>43836</v>
      </c>
      <c r="H20">
        <v>-41907</v>
      </c>
      <c r="J20" s="7" t="s">
        <v>275</v>
      </c>
      <c r="K20">
        <v>-22195</v>
      </c>
    </row>
    <row r="21" spans="1:11" x14ac:dyDescent="0.3">
      <c r="A21" t="s">
        <v>396</v>
      </c>
      <c r="B21" t="s">
        <v>18</v>
      </c>
      <c r="C21">
        <v>643</v>
      </c>
      <c r="D21">
        <v>358</v>
      </c>
      <c r="E21">
        <v>157599</v>
      </c>
      <c r="F21">
        <v>3.88</v>
      </c>
      <c r="G21">
        <v>7285</v>
      </c>
      <c r="H21">
        <v>-6642</v>
      </c>
      <c r="J21" s="7" t="s">
        <v>403</v>
      </c>
      <c r="K21">
        <v>-20441</v>
      </c>
    </row>
    <row r="22" spans="1:11" x14ac:dyDescent="0.3">
      <c r="A22" t="s">
        <v>159</v>
      </c>
      <c r="B22" t="s">
        <v>18</v>
      </c>
      <c r="C22">
        <v>508</v>
      </c>
      <c r="D22">
        <v>69</v>
      </c>
      <c r="E22">
        <v>23492</v>
      </c>
      <c r="F22">
        <v>3.16</v>
      </c>
      <c r="G22">
        <v>42824</v>
      </c>
      <c r="H22">
        <v>-42316</v>
      </c>
      <c r="J22" s="7" t="s">
        <v>271</v>
      </c>
      <c r="K22">
        <v>-6227</v>
      </c>
    </row>
    <row r="23" spans="1:11" x14ac:dyDescent="0.3">
      <c r="A23" t="s">
        <v>72</v>
      </c>
      <c r="B23" t="s">
        <v>18</v>
      </c>
      <c r="C23">
        <v>859</v>
      </c>
      <c r="D23">
        <v>473</v>
      </c>
      <c r="E23">
        <v>209987</v>
      </c>
      <c r="F23">
        <v>4.46</v>
      </c>
      <c r="G23">
        <v>30214</v>
      </c>
      <c r="H23">
        <v>-29355</v>
      </c>
      <c r="J23" s="7" t="s">
        <v>397</v>
      </c>
      <c r="K23">
        <v>-38281</v>
      </c>
    </row>
    <row r="24" spans="1:11" x14ac:dyDescent="0.3">
      <c r="A24" t="s">
        <v>333</v>
      </c>
      <c r="B24" t="s">
        <v>18</v>
      </c>
      <c r="C24">
        <v>947</v>
      </c>
      <c r="D24">
        <v>407</v>
      </c>
      <c r="E24">
        <v>319186</v>
      </c>
      <c r="F24">
        <v>3.32</v>
      </c>
      <c r="G24">
        <v>4996</v>
      </c>
      <c r="H24">
        <v>-4049</v>
      </c>
      <c r="J24" s="7" t="s">
        <v>252</v>
      </c>
      <c r="K24">
        <v>-48563</v>
      </c>
    </row>
    <row r="25" spans="1:11" x14ac:dyDescent="0.3">
      <c r="A25" t="s">
        <v>397</v>
      </c>
      <c r="B25" t="s">
        <v>18</v>
      </c>
      <c r="C25">
        <v>171</v>
      </c>
      <c r="D25">
        <v>277</v>
      </c>
      <c r="E25">
        <v>309483</v>
      </c>
      <c r="F25">
        <v>8.6999999999999993</v>
      </c>
      <c r="G25">
        <v>38452</v>
      </c>
      <c r="H25">
        <v>-38281</v>
      </c>
      <c r="J25" s="7" t="s">
        <v>248</v>
      </c>
      <c r="K25">
        <v>-36369</v>
      </c>
    </row>
    <row r="26" spans="1:11" x14ac:dyDescent="0.3">
      <c r="A26" t="s">
        <v>188</v>
      </c>
      <c r="B26" t="s">
        <v>18</v>
      </c>
      <c r="C26">
        <v>513</v>
      </c>
      <c r="D26">
        <v>441</v>
      </c>
      <c r="E26">
        <v>338847</v>
      </c>
      <c r="F26">
        <v>2.68</v>
      </c>
      <c r="G26">
        <v>39997</v>
      </c>
      <c r="H26">
        <v>-39484</v>
      </c>
      <c r="J26" s="7" t="s">
        <v>400</v>
      </c>
      <c r="K26">
        <v>-45057</v>
      </c>
    </row>
    <row r="27" spans="1:11" x14ac:dyDescent="0.3">
      <c r="A27" t="s">
        <v>105</v>
      </c>
      <c r="B27" t="s">
        <v>18</v>
      </c>
      <c r="C27">
        <v>1710</v>
      </c>
      <c r="D27">
        <v>378</v>
      </c>
      <c r="E27">
        <v>336661</v>
      </c>
      <c r="F27">
        <v>6.2</v>
      </c>
      <c r="G27">
        <v>28498</v>
      </c>
      <c r="H27">
        <v>-26788</v>
      </c>
      <c r="J27" s="7" t="s">
        <v>406</v>
      </c>
      <c r="K27">
        <v>-25722</v>
      </c>
    </row>
    <row r="28" spans="1:11" x14ac:dyDescent="0.3">
      <c r="A28" t="s">
        <v>398</v>
      </c>
      <c r="B28" t="s">
        <v>18</v>
      </c>
      <c r="C28">
        <v>1902</v>
      </c>
      <c r="D28">
        <v>196</v>
      </c>
      <c r="E28">
        <v>470269</v>
      </c>
      <c r="F28">
        <v>4.79</v>
      </c>
      <c r="G28">
        <v>26103</v>
      </c>
      <c r="H28">
        <v>-24201</v>
      </c>
      <c r="J28" s="7" t="s">
        <v>396</v>
      </c>
      <c r="K28">
        <v>-6642</v>
      </c>
    </row>
    <row r="29" spans="1:11" x14ac:dyDescent="0.3">
      <c r="A29" t="s">
        <v>281</v>
      </c>
      <c r="B29" t="s">
        <v>18</v>
      </c>
      <c r="C29">
        <v>1514</v>
      </c>
      <c r="D29">
        <v>141</v>
      </c>
      <c r="E29">
        <v>35842</v>
      </c>
      <c r="F29">
        <v>7.47</v>
      </c>
      <c r="G29">
        <v>18601</v>
      </c>
      <c r="H29">
        <v>-17087</v>
      </c>
      <c r="J29" s="7" t="s">
        <v>222</v>
      </c>
      <c r="K29">
        <v>-43250</v>
      </c>
    </row>
    <row r="30" spans="1:11" x14ac:dyDescent="0.3">
      <c r="A30" t="s">
        <v>213</v>
      </c>
      <c r="B30" t="s">
        <v>18</v>
      </c>
      <c r="C30">
        <v>1623</v>
      </c>
      <c r="D30">
        <v>246</v>
      </c>
      <c r="E30">
        <v>415815</v>
      </c>
      <c r="F30">
        <v>8.11</v>
      </c>
      <c r="G30">
        <v>18656</v>
      </c>
      <c r="H30">
        <v>-17033</v>
      </c>
      <c r="J30" s="7" t="s">
        <v>392</v>
      </c>
      <c r="K30">
        <v>-47019</v>
      </c>
    </row>
    <row r="31" spans="1:11" x14ac:dyDescent="0.3">
      <c r="A31" t="s">
        <v>135</v>
      </c>
      <c r="B31" t="s">
        <v>18</v>
      </c>
      <c r="C31">
        <v>1155</v>
      </c>
      <c r="D31">
        <v>425</v>
      </c>
      <c r="E31">
        <v>93347</v>
      </c>
      <c r="F31">
        <v>2.02</v>
      </c>
      <c r="G31">
        <v>47502</v>
      </c>
      <c r="H31">
        <v>-46347</v>
      </c>
      <c r="J31" s="7" t="s">
        <v>213</v>
      </c>
      <c r="K31">
        <v>-17033</v>
      </c>
    </row>
    <row r="32" spans="1:11" x14ac:dyDescent="0.3">
      <c r="A32" t="s">
        <v>399</v>
      </c>
      <c r="B32" t="s">
        <v>18</v>
      </c>
      <c r="C32">
        <v>1980</v>
      </c>
      <c r="D32">
        <v>204</v>
      </c>
      <c r="E32">
        <v>379431</v>
      </c>
      <c r="F32">
        <v>3.09</v>
      </c>
      <c r="G32">
        <v>25140</v>
      </c>
      <c r="H32">
        <v>-23160</v>
      </c>
      <c r="J32" s="7" t="s">
        <v>210</v>
      </c>
      <c r="K32">
        <v>-29958</v>
      </c>
    </row>
    <row r="33" spans="1:11" x14ac:dyDescent="0.3">
      <c r="A33" t="s">
        <v>319</v>
      </c>
      <c r="B33" t="s">
        <v>18</v>
      </c>
      <c r="C33">
        <v>816</v>
      </c>
      <c r="D33">
        <v>196</v>
      </c>
      <c r="E33">
        <v>95728</v>
      </c>
      <c r="F33">
        <v>8.1999999999999993</v>
      </c>
      <c r="G33">
        <v>17951</v>
      </c>
      <c r="H33">
        <v>-17135</v>
      </c>
      <c r="J33" s="7" t="s">
        <v>404</v>
      </c>
      <c r="K33">
        <v>-27758</v>
      </c>
    </row>
    <row r="34" spans="1:11" x14ac:dyDescent="0.3">
      <c r="A34" t="s">
        <v>400</v>
      </c>
      <c r="B34" t="s">
        <v>18</v>
      </c>
      <c r="C34">
        <v>651</v>
      </c>
      <c r="D34">
        <v>353</v>
      </c>
      <c r="E34">
        <v>224699</v>
      </c>
      <c r="F34">
        <v>5.61</v>
      </c>
      <c r="G34">
        <v>45708</v>
      </c>
      <c r="H34">
        <v>-45057</v>
      </c>
      <c r="J34" s="7" t="s">
        <v>206</v>
      </c>
      <c r="K34">
        <v>-44917</v>
      </c>
    </row>
    <row r="35" spans="1:11" x14ac:dyDescent="0.3">
      <c r="A35" t="s">
        <v>401</v>
      </c>
      <c r="B35" t="s">
        <v>18</v>
      </c>
      <c r="C35">
        <v>663</v>
      </c>
      <c r="D35">
        <v>236</v>
      </c>
      <c r="E35">
        <v>479490</v>
      </c>
      <c r="F35">
        <v>4.51</v>
      </c>
      <c r="G35">
        <v>23853</v>
      </c>
      <c r="H35">
        <v>-23190</v>
      </c>
      <c r="J35" s="7" t="s">
        <v>188</v>
      </c>
      <c r="K35">
        <v>-39484</v>
      </c>
    </row>
    <row r="36" spans="1:11" x14ac:dyDescent="0.3">
      <c r="A36" t="s">
        <v>93</v>
      </c>
      <c r="B36" t="s">
        <v>18</v>
      </c>
      <c r="C36">
        <v>1249</v>
      </c>
      <c r="D36">
        <v>351</v>
      </c>
      <c r="E36">
        <v>321307</v>
      </c>
      <c r="F36">
        <v>6.37</v>
      </c>
      <c r="G36">
        <v>20560</v>
      </c>
      <c r="H36">
        <v>-19311</v>
      </c>
      <c r="J36" s="7" t="s">
        <v>178</v>
      </c>
      <c r="K36">
        <v>-13125</v>
      </c>
    </row>
    <row r="37" spans="1:11" x14ac:dyDescent="0.3">
      <c r="A37" t="s">
        <v>402</v>
      </c>
      <c r="B37" t="s">
        <v>18</v>
      </c>
      <c r="C37">
        <v>1159</v>
      </c>
      <c r="D37">
        <v>411</v>
      </c>
      <c r="E37">
        <v>135987</v>
      </c>
      <c r="F37">
        <v>8.6999999999999993</v>
      </c>
      <c r="G37">
        <v>40323</v>
      </c>
      <c r="H37">
        <v>-39164</v>
      </c>
      <c r="J37" s="7" t="s">
        <v>401</v>
      </c>
      <c r="K37">
        <v>-23190</v>
      </c>
    </row>
    <row r="38" spans="1:11" x14ac:dyDescent="0.3">
      <c r="A38" t="s">
        <v>275</v>
      </c>
      <c r="B38" t="s">
        <v>18</v>
      </c>
      <c r="C38">
        <v>1294</v>
      </c>
      <c r="D38">
        <v>382</v>
      </c>
      <c r="E38">
        <v>309914</v>
      </c>
      <c r="F38">
        <v>8.0299999999999994</v>
      </c>
      <c r="G38">
        <v>23489</v>
      </c>
      <c r="H38">
        <v>-22195</v>
      </c>
      <c r="J38" s="7" t="s">
        <v>407</v>
      </c>
      <c r="K38">
        <v>-6500</v>
      </c>
    </row>
    <row r="39" spans="1:11" x14ac:dyDescent="0.3">
      <c r="A39" t="s">
        <v>210</v>
      </c>
      <c r="B39" t="s">
        <v>18</v>
      </c>
      <c r="C39">
        <v>1895</v>
      </c>
      <c r="D39">
        <v>305</v>
      </c>
      <c r="E39">
        <v>104967</v>
      </c>
      <c r="F39">
        <v>3.85</v>
      </c>
      <c r="G39">
        <v>31853</v>
      </c>
      <c r="H39">
        <v>-29958</v>
      </c>
      <c r="J39" s="7" t="s">
        <v>159</v>
      </c>
      <c r="K39">
        <v>-42316</v>
      </c>
    </row>
    <row r="40" spans="1:11" x14ac:dyDescent="0.3">
      <c r="A40" t="s">
        <v>131</v>
      </c>
      <c r="B40" t="s">
        <v>18</v>
      </c>
      <c r="C40">
        <v>1884</v>
      </c>
      <c r="D40">
        <v>177</v>
      </c>
      <c r="E40">
        <v>230448</v>
      </c>
      <c r="F40">
        <v>7.8</v>
      </c>
      <c r="G40">
        <v>22713</v>
      </c>
      <c r="H40">
        <v>-20829</v>
      </c>
      <c r="J40" s="7" t="s">
        <v>391</v>
      </c>
      <c r="K40">
        <v>-24676</v>
      </c>
    </row>
    <row r="41" spans="1:11" x14ac:dyDescent="0.3">
      <c r="A41" t="s">
        <v>355</v>
      </c>
      <c r="B41" t="s">
        <v>18</v>
      </c>
      <c r="C41">
        <v>345</v>
      </c>
      <c r="D41">
        <v>464</v>
      </c>
      <c r="E41">
        <v>366881</v>
      </c>
      <c r="F41">
        <v>4.55</v>
      </c>
      <c r="G41">
        <v>20553</v>
      </c>
      <c r="H41">
        <v>-20208</v>
      </c>
      <c r="J41" s="7" t="s">
        <v>393</v>
      </c>
      <c r="K41">
        <v>-11703</v>
      </c>
    </row>
    <row r="42" spans="1:11" x14ac:dyDescent="0.3">
      <c r="A42" t="s">
        <v>403</v>
      </c>
      <c r="B42" t="s">
        <v>18</v>
      </c>
      <c r="C42">
        <v>1098</v>
      </c>
      <c r="D42">
        <v>190</v>
      </c>
      <c r="E42">
        <v>340842</v>
      </c>
      <c r="F42">
        <v>9.39</v>
      </c>
      <c r="G42">
        <v>21539</v>
      </c>
      <c r="H42">
        <v>-20441</v>
      </c>
      <c r="J42" s="7" t="s">
        <v>135</v>
      </c>
      <c r="K42">
        <v>-46347</v>
      </c>
    </row>
    <row r="43" spans="1:11" x14ac:dyDescent="0.3">
      <c r="A43" t="s">
        <v>404</v>
      </c>
      <c r="B43" t="s">
        <v>18</v>
      </c>
      <c r="C43">
        <v>1358</v>
      </c>
      <c r="D43">
        <v>242</v>
      </c>
      <c r="E43">
        <v>342129</v>
      </c>
      <c r="F43">
        <v>4.9400000000000004</v>
      </c>
      <c r="G43">
        <v>29116</v>
      </c>
      <c r="H43">
        <v>-27758</v>
      </c>
      <c r="J43" s="7" t="s">
        <v>131</v>
      </c>
      <c r="K43">
        <v>-20829</v>
      </c>
    </row>
    <row r="44" spans="1:11" x14ac:dyDescent="0.3">
      <c r="A44" t="s">
        <v>128</v>
      </c>
      <c r="B44" t="s">
        <v>18</v>
      </c>
      <c r="C44">
        <v>609</v>
      </c>
      <c r="D44">
        <v>135</v>
      </c>
      <c r="E44">
        <v>373606</v>
      </c>
      <c r="F44">
        <v>8.52</v>
      </c>
      <c r="G44">
        <v>21453</v>
      </c>
      <c r="H44">
        <v>-20844</v>
      </c>
      <c r="J44" s="7" t="s">
        <v>128</v>
      </c>
      <c r="K44">
        <v>-20844</v>
      </c>
    </row>
    <row r="45" spans="1:11" x14ac:dyDescent="0.3">
      <c r="A45" t="s">
        <v>405</v>
      </c>
      <c r="B45" t="s">
        <v>18</v>
      </c>
      <c r="C45">
        <v>988</v>
      </c>
      <c r="D45">
        <v>474</v>
      </c>
      <c r="E45">
        <v>370070</v>
      </c>
      <c r="F45">
        <v>9.4600000000000009</v>
      </c>
      <c r="G45">
        <v>23461</v>
      </c>
      <c r="H45">
        <v>-22473</v>
      </c>
      <c r="J45" s="7" t="s">
        <v>122</v>
      </c>
      <c r="K45">
        <v>-28856</v>
      </c>
    </row>
    <row r="46" spans="1:11" x14ac:dyDescent="0.3">
      <c r="A46" t="s">
        <v>304</v>
      </c>
      <c r="B46" t="s">
        <v>18</v>
      </c>
      <c r="C46">
        <v>1307</v>
      </c>
      <c r="D46">
        <v>278</v>
      </c>
      <c r="E46">
        <v>98596</v>
      </c>
      <c r="F46">
        <v>2.4900000000000002</v>
      </c>
      <c r="G46">
        <v>47603</v>
      </c>
      <c r="H46">
        <v>-46296</v>
      </c>
      <c r="J46" s="7" t="s">
        <v>105</v>
      </c>
      <c r="K46">
        <v>-26788</v>
      </c>
    </row>
    <row r="47" spans="1:11" x14ac:dyDescent="0.3">
      <c r="A47" t="s">
        <v>406</v>
      </c>
      <c r="B47" t="s">
        <v>18</v>
      </c>
      <c r="C47">
        <v>198</v>
      </c>
      <c r="D47">
        <v>373</v>
      </c>
      <c r="E47">
        <v>70707</v>
      </c>
      <c r="F47">
        <v>4.83</v>
      </c>
      <c r="G47">
        <v>25920</v>
      </c>
      <c r="H47">
        <v>-25722</v>
      </c>
      <c r="J47" s="7" t="s">
        <v>97</v>
      </c>
      <c r="K47">
        <v>-26677</v>
      </c>
    </row>
    <row r="48" spans="1:11" x14ac:dyDescent="0.3">
      <c r="A48" t="s">
        <v>407</v>
      </c>
      <c r="B48" t="s">
        <v>18</v>
      </c>
      <c r="C48">
        <v>1375</v>
      </c>
      <c r="D48">
        <v>330</v>
      </c>
      <c r="E48">
        <v>377382</v>
      </c>
      <c r="F48">
        <v>2.6</v>
      </c>
      <c r="G48">
        <v>7875</v>
      </c>
      <c r="H48">
        <v>-6500</v>
      </c>
      <c r="J48" s="7" t="s">
        <v>93</v>
      </c>
      <c r="K48">
        <v>-19311</v>
      </c>
    </row>
    <row r="49" spans="1:11" x14ac:dyDescent="0.3">
      <c r="A49" t="s">
        <v>76</v>
      </c>
      <c r="B49" t="s">
        <v>18</v>
      </c>
      <c r="C49">
        <v>833</v>
      </c>
      <c r="D49">
        <v>380</v>
      </c>
      <c r="E49">
        <v>224830</v>
      </c>
      <c r="F49">
        <v>3.86</v>
      </c>
      <c r="G49">
        <v>3582</v>
      </c>
      <c r="H49">
        <v>-2749</v>
      </c>
      <c r="J49" s="7" t="s">
        <v>76</v>
      </c>
      <c r="K49">
        <v>-2749</v>
      </c>
    </row>
    <row r="50" spans="1:11" x14ac:dyDescent="0.3">
      <c r="A50" t="s">
        <v>329</v>
      </c>
      <c r="B50" t="s">
        <v>18</v>
      </c>
      <c r="C50">
        <v>405</v>
      </c>
      <c r="D50">
        <v>66</v>
      </c>
      <c r="E50">
        <v>418696</v>
      </c>
      <c r="F50">
        <v>5.59</v>
      </c>
      <c r="G50">
        <v>48419</v>
      </c>
      <c r="H50">
        <v>-48014</v>
      </c>
      <c r="J50" s="7" t="s">
        <v>72</v>
      </c>
      <c r="K50">
        <v>-29355</v>
      </c>
    </row>
    <row r="51" spans="1:11" x14ac:dyDescent="0.3">
      <c r="A51" t="s">
        <v>252</v>
      </c>
      <c r="B51" t="s">
        <v>18</v>
      </c>
      <c r="C51">
        <v>837</v>
      </c>
      <c r="D51">
        <v>430</v>
      </c>
      <c r="E51">
        <v>364820</v>
      </c>
      <c r="F51">
        <v>4</v>
      </c>
      <c r="G51">
        <v>49400</v>
      </c>
      <c r="H51">
        <v>-48563</v>
      </c>
      <c r="J51" s="7" t="s">
        <v>56</v>
      </c>
      <c r="K51">
        <v>-4679</v>
      </c>
    </row>
    <row r="52" spans="1:11" x14ac:dyDescent="0.3">
      <c r="A52" s="9" t="s">
        <v>351</v>
      </c>
      <c r="B52" t="s">
        <v>38</v>
      </c>
      <c r="C52">
        <v>1135</v>
      </c>
      <c r="D52">
        <v>88</v>
      </c>
      <c r="E52">
        <v>344084</v>
      </c>
      <c r="F52">
        <v>8.06</v>
      </c>
      <c r="G52">
        <v>5904</v>
      </c>
      <c r="H52">
        <v>-4769</v>
      </c>
      <c r="J52" s="7" t="s">
        <v>394</v>
      </c>
      <c r="K52">
        <v>-2065</v>
      </c>
    </row>
    <row r="53" spans="1:11" x14ac:dyDescent="0.3">
      <c r="A53" t="s">
        <v>271</v>
      </c>
      <c r="B53" t="s">
        <v>38</v>
      </c>
      <c r="C53">
        <v>656</v>
      </c>
      <c r="D53">
        <v>139</v>
      </c>
      <c r="E53">
        <v>49157</v>
      </c>
      <c r="F53">
        <v>9.0500000000000007</v>
      </c>
      <c r="G53">
        <v>9920</v>
      </c>
      <c r="H53">
        <v>-9264</v>
      </c>
      <c r="J53" s="7" t="s">
        <v>399</v>
      </c>
      <c r="K53">
        <v>-23160</v>
      </c>
    </row>
    <row r="54" spans="1:11" x14ac:dyDescent="0.3">
      <c r="A54" t="s">
        <v>206</v>
      </c>
      <c r="B54" t="s">
        <v>38</v>
      </c>
      <c r="C54">
        <v>1048</v>
      </c>
      <c r="D54">
        <v>155</v>
      </c>
      <c r="E54">
        <v>456946</v>
      </c>
      <c r="F54">
        <v>2.46</v>
      </c>
      <c r="G54">
        <v>11329</v>
      </c>
      <c r="H54">
        <v>-10281</v>
      </c>
      <c r="J54" s="7" t="s">
        <v>405</v>
      </c>
      <c r="K54">
        <v>-22473</v>
      </c>
    </row>
    <row r="55" spans="1:11" x14ac:dyDescent="0.3">
      <c r="A55" t="s">
        <v>122</v>
      </c>
      <c r="B55" t="s">
        <v>38</v>
      </c>
      <c r="C55">
        <v>911</v>
      </c>
      <c r="D55">
        <v>282</v>
      </c>
      <c r="E55">
        <v>35664</v>
      </c>
      <c r="F55">
        <v>6.92</v>
      </c>
      <c r="G55">
        <v>18050</v>
      </c>
      <c r="H55">
        <v>-17139</v>
      </c>
      <c r="J55" s="6" t="s">
        <v>38</v>
      </c>
      <c r="K55">
        <v>-22121.24</v>
      </c>
    </row>
    <row r="56" spans="1:11" x14ac:dyDescent="0.3">
      <c r="A56" t="s">
        <v>376</v>
      </c>
      <c r="B56" t="s">
        <v>38</v>
      </c>
      <c r="C56">
        <v>226</v>
      </c>
      <c r="D56">
        <v>445</v>
      </c>
      <c r="E56">
        <v>419447</v>
      </c>
      <c r="F56">
        <v>9.36</v>
      </c>
      <c r="G56">
        <v>9566</v>
      </c>
      <c r="H56">
        <v>-9340</v>
      </c>
      <c r="J56" s="7" t="s">
        <v>376</v>
      </c>
      <c r="K56">
        <v>-9340</v>
      </c>
    </row>
    <row r="57" spans="1:11" x14ac:dyDescent="0.3">
      <c r="A57" t="s">
        <v>390</v>
      </c>
      <c r="B57" t="s">
        <v>38</v>
      </c>
      <c r="C57">
        <v>1757</v>
      </c>
      <c r="D57">
        <v>85</v>
      </c>
      <c r="E57">
        <v>58223</v>
      </c>
      <c r="F57">
        <v>8.74</v>
      </c>
      <c r="G57">
        <v>22728</v>
      </c>
      <c r="H57">
        <v>-20971</v>
      </c>
      <c r="J57" s="7" t="s">
        <v>363</v>
      </c>
      <c r="K57">
        <v>-36400</v>
      </c>
    </row>
    <row r="58" spans="1:11" x14ac:dyDescent="0.3">
      <c r="A58" t="s">
        <v>222</v>
      </c>
      <c r="B58" t="s">
        <v>38</v>
      </c>
      <c r="C58">
        <v>1960</v>
      </c>
      <c r="D58">
        <v>115</v>
      </c>
      <c r="E58">
        <v>154169</v>
      </c>
      <c r="F58">
        <v>3.74</v>
      </c>
      <c r="G58">
        <v>10740</v>
      </c>
      <c r="H58">
        <v>-8780</v>
      </c>
      <c r="J58" s="7" t="s">
        <v>398</v>
      </c>
      <c r="K58">
        <v>-34407</v>
      </c>
    </row>
    <row r="59" spans="1:11" x14ac:dyDescent="0.3">
      <c r="A59" t="s">
        <v>391</v>
      </c>
      <c r="B59" t="s">
        <v>38</v>
      </c>
      <c r="C59">
        <v>508</v>
      </c>
      <c r="D59">
        <v>349</v>
      </c>
      <c r="E59">
        <v>473812</v>
      </c>
      <c r="F59">
        <v>7.88</v>
      </c>
      <c r="G59">
        <v>17328</v>
      </c>
      <c r="H59">
        <v>-16820</v>
      </c>
      <c r="J59" s="7" t="s">
        <v>402</v>
      </c>
      <c r="K59">
        <v>-9269</v>
      </c>
    </row>
    <row r="60" spans="1:11" x14ac:dyDescent="0.3">
      <c r="A60" t="s">
        <v>56</v>
      </c>
      <c r="B60" t="s">
        <v>38</v>
      </c>
      <c r="C60">
        <v>653</v>
      </c>
      <c r="D60">
        <v>112</v>
      </c>
      <c r="E60">
        <v>23664</v>
      </c>
      <c r="F60">
        <v>4.05</v>
      </c>
      <c r="G60">
        <v>15353</v>
      </c>
      <c r="H60">
        <v>-14700</v>
      </c>
      <c r="J60" s="7" t="s">
        <v>355</v>
      </c>
      <c r="K60">
        <v>-32428</v>
      </c>
    </row>
    <row r="61" spans="1:11" x14ac:dyDescent="0.3">
      <c r="A61" t="s">
        <v>325</v>
      </c>
      <c r="B61" t="s">
        <v>38</v>
      </c>
      <c r="C61">
        <v>645</v>
      </c>
      <c r="D61">
        <v>293</v>
      </c>
      <c r="E61">
        <v>437968</v>
      </c>
      <c r="F61">
        <v>7.83</v>
      </c>
      <c r="G61">
        <v>49303</v>
      </c>
      <c r="H61">
        <v>-48658</v>
      </c>
      <c r="J61" s="7" t="s">
        <v>351</v>
      </c>
      <c r="K61">
        <v>-4769</v>
      </c>
    </row>
    <row r="62" spans="1:11" x14ac:dyDescent="0.3">
      <c r="A62" t="s">
        <v>248</v>
      </c>
      <c r="B62" t="s">
        <v>38</v>
      </c>
      <c r="C62">
        <v>1528</v>
      </c>
      <c r="D62">
        <v>203</v>
      </c>
      <c r="E62">
        <v>489188</v>
      </c>
      <c r="F62">
        <v>6.23</v>
      </c>
      <c r="G62">
        <v>47101</v>
      </c>
      <c r="H62">
        <v>-45573</v>
      </c>
      <c r="J62" s="7" t="s">
        <v>333</v>
      </c>
      <c r="K62">
        <v>-35018</v>
      </c>
    </row>
    <row r="63" spans="1:11" x14ac:dyDescent="0.3">
      <c r="A63" t="s">
        <v>178</v>
      </c>
      <c r="B63" t="s">
        <v>38</v>
      </c>
      <c r="C63">
        <v>215</v>
      </c>
      <c r="D63">
        <v>139</v>
      </c>
      <c r="E63">
        <v>325444</v>
      </c>
      <c r="F63">
        <v>3.25</v>
      </c>
      <c r="G63">
        <v>35501</v>
      </c>
      <c r="H63">
        <v>-35286</v>
      </c>
      <c r="J63" s="7" t="s">
        <v>329</v>
      </c>
      <c r="K63">
        <v>-31424</v>
      </c>
    </row>
    <row r="64" spans="1:11" x14ac:dyDescent="0.3">
      <c r="A64" t="s">
        <v>97</v>
      </c>
      <c r="B64" t="s">
        <v>38</v>
      </c>
      <c r="C64">
        <v>1685</v>
      </c>
      <c r="D64">
        <v>76</v>
      </c>
      <c r="E64">
        <v>453799</v>
      </c>
      <c r="F64">
        <v>5.71</v>
      </c>
      <c r="G64">
        <v>24913</v>
      </c>
      <c r="H64">
        <v>-23228</v>
      </c>
      <c r="J64" s="7" t="s">
        <v>325</v>
      </c>
      <c r="K64">
        <v>-48658</v>
      </c>
    </row>
    <row r="65" spans="1:11" x14ac:dyDescent="0.3">
      <c r="A65" t="s">
        <v>363</v>
      </c>
      <c r="B65" t="s">
        <v>38</v>
      </c>
      <c r="C65">
        <v>1429</v>
      </c>
      <c r="D65">
        <v>182</v>
      </c>
      <c r="E65">
        <v>101332</v>
      </c>
      <c r="F65">
        <v>7.16</v>
      </c>
      <c r="G65">
        <v>37829</v>
      </c>
      <c r="H65">
        <v>-36400</v>
      </c>
      <c r="J65" s="7" t="s">
        <v>319</v>
      </c>
      <c r="K65">
        <v>-36119</v>
      </c>
    </row>
    <row r="66" spans="1:11" x14ac:dyDescent="0.3">
      <c r="A66" t="s">
        <v>285</v>
      </c>
      <c r="B66" t="s">
        <v>38</v>
      </c>
      <c r="C66">
        <v>1592</v>
      </c>
      <c r="D66">
        <v>20</v>
      </c>
      <c r="E66">
        <v>378054</v>
      </c>
      <c r="F66">
        <v>9.09</v>
      </c>
      <c r="G66">
        <v>26663</v>
      </c>
      <c r="H66">
        <v>-25071</v>
      </c>
      <c r="J66" s="7" t="s">
        <v>304</v>
      </c>
      <c r="K66">
        <v>-1877</v>
      </c>
    </row>
    <row r="67" spans="1:11" x14ac:dyDescent="0.3">
      <c r="A67" t="s">
        <v>392</v>
      </c>
      <c r="B67" t="s">
        <v>38</v>
      </c>
      <c r="C67">
        <v>778</v>
      </c>
      <c r="D67">
        <v>401</v>
      </c>
      <c r="E67">
        <v>50793</v>
      </c>
      <c r="F67">
        <v>3.4</v>
      </c>
      <c r="G67">
        <v>21939</v>
      </c>
      <c r="H67">
        <v>-21161</v>
      </c>
      <c r="J67" s="7" t="s">
        <v>395</v>
      </c>
      <c r="K67">
        <v>-39276</v>
      </c>
    </row>
    <row r="68" spans="1:11" x14ac:dyDescent="0.3">
      <c r="A68" t="s">
        <v>393</v>
      </c>
      <c r="B68" t="s">
        <v>38</v>
      </c>
      <c r="C68">
        <v>817</v>
      </c>
      <c r="D68">
        <v>151</v>
      </c>
      <c r="E68">
        <v>422625</v>
      </c>
      <c r="F68">
        <v>2.36</v>
      </c>
      <c r="G68">
        <v>1083</v>
      </c>
      <c r="H68">
        <v>-266</v>
      </c>
      <c r="J68" s="7" t="s">
        <v>390</v>
      </c>
      <c r="K68">
        <v>-20971</v>
      </c>
    </row>
    <row r="69" spans="1:11" x14ac:dyDescent="0.3">
      <c r="A69" t="s">
        <v>394</v>
      </c>
      <c r="B69" t="s">
        <v>38</v>
      </c>
      <c r="C69">
        <v>1433</v>
      </c>
      <c r="D69">
        <v>408</v>
      </c>
      <c r="E69">
        <v>370269</v>
      </c>
      <c r="F69">
        <v>3.3</v>
      </c>
      <c r="G69">
        <v>30575</v>
      </c>
      <c r="H69">
        <v>-29142</v>
      </c>
      <c r="J69" s="7" t="s">
        <v>285</v>
      </c>
      <c r="K69">
        <v>-25071</v>
      </c>
    </row>
    <row r="70" spans="1:11" x14ac:dyDescent="0.3">
      <c r="A70" t="s">
        <v>395</v>
      </c>
      <c r="B70" t="s">
        <v>38</v>
      </c>
      <c r="C70">
        <v>1939</v>
      </c>
      <c r="D70">
        <v>67</v>
      </c>
      <c r="E70">
        <v>187183</v>
      </c>
      <c r="F70">
        <v>6.25</v>
      </c>
      <c r="G70">
        <v>41215</v>
      </c>
      <c r="H70">
        <v>-39276</v>
      </c>
      <c r="J70" s="7" t="s">
        <v>281</v>
      </c>
      <c r="K70">
        <v>-21230</v>
      </c>
    </row>
    <row r="71" spans="1:11" x14ac:dyDescent="0.3">
      <c r="A71" t="s">
        <v>396</v>
      </c>
      <c r="B71" t="s">
        <v>38</v>
      </c>
      <c r="C71">
        <v>1527</v>
      </c>
      <c r="D71">
        <v>303</v>
      </c>
      <c r="E71">
        <v>388555</v>
      </c>
      <c r="F71">
        <v>8.9</v>
      </c>
      <c r="G71">
        <v>36397</v>
      </c>
      <c r="H71">
        <v>-34870</v>
      </c>
      <c r="J71" s="7" t="s">
        <v>275</v>
      </c>
      <c r="K71">
        <v>-1357</v>
      </c>
    </row>
    <row r="72" spans="1:11" x14ac:dyDescent="0.3">
      <c r="A72" t="s">
        <v>159</v>
      </c>
      <c r="B72" t="s">
        <v>38</v>
      </c>
      <c r="C72">
        <v>703</v>
      </c>
      <c r="D72">
        <v>441</v>
      </c>
      <c r="E72">
        <v>357089</v>
      </c>
      <c r="F72">
        <v>6.5</v>
      </c>
      <c r="G72">
        <v>32478</v>
      </c>
      <c r="H72">
        <v>-31775</v>
      </c>
      <c r="J72" s="7" t="s">
        <v>403</v>
      </c>
      <c r="K72">
        <v>-5903</v>
      </c>
    </row>
    <row r="73" spans="1:11" x14ac:dyDescent="0.3">
      <c r="A73" t="s">
        <v>72</v>
      </c>
      <c r="B73" t="s">
        <v>38</v>
      </c>
      <c r="C73">
        <v>642</v>
      </c>
      <c r="D73">
        <v>66</v>
      </c>
      <c r="E73">
        <v>346522</v>
      </c>
      <c r="F73">
        <v>5.85</v>
      </c>
      <c r="G73">
        <v>13116</v>
      </c>
      <c r="H73">
        <v>-12474</v>
      </c>
      <c r="J73" s="7" t="s">
        <v>271</v>
      </c>
      <c r="K73">
        <v>-9264</v>
      </c>
    </row>
    <row r="74" spans="1:11" x14ac:dyDescent="0.3">
      <c r="A74" t="s">
        <v>333</v>
      </c>
      <c r="B74" t="s">
        <v>38</v>
      </c>
      <c r="C74">
        <v>1466</v>
      </c>
      <c r="D74">
        <v>69</v>
      </c>
      <c r="E74">
        <v>54935</v>
      </c>
      <c r="F74">
        <v>6.85</v>
      </c>
      <c r="G74">
        <v>36484</v>
      </c>
      <c r="H74">
        <v>-35018</v>
      </c>
      <c r="J74" s="7" t="s">
        <v>397</v>
      </c>
      <c r="K74">
        <v>-46737</v>
      </c>
    </row>
    <row r="75" spans="1:11" x14ac:dyDescent="0.3">
      <c r="A75" t="s">
        <v>397</v>
      </c>
      <c r="B75" t="s">
        <v>38</v>
      </c>
      <c r="C75">
        <v>1075</v>
      </c>
      <c r="D75">
        <v>173</v>
      </c>
      <c r="E75">
        <v>51395</v>
      </c>
      <c r="F75">
        <v>4.66</v>
      </c>
      <c r="G75">
        <v>47812</v>
      </c>
      <c r="H75">
        <v>-46737</v>
      </c>
      <c r="J75" s="7" t="s">
        <v>252</v>
      </c>
      <c r="K75">
        <v>-18277</v>
      </c>
    </row>
    <row r="76" spans="1:11" x14ac:dyDescent="0.3">
      <c r="A76" t="s">
        <v>188</v>
      </c>
      <c r="B76" t="s">
        <v>38</v>
      </c>
      <c r="C76">
        <v>187</v>
      </c>
      <c r="D76">
        <v>236</v>
      </c>
      <c r="E76">
        <v>51087</v>
      </c>
      <c r="F76">
        <v>9.41</v>
      </c>
      <c r="G76">
        <v>29533</v>
      </c>
      <c r="H76">
        <v>-29346</v>
      </c>
      <c r="J76" s="7" t="s">
        <v>248</v>
      </c>
      <c r="K76">
        <v>-45573</v>
      </c>
    </row>
    <row r="77" spans="1:11" x14ac:dyDescent="0.3">
      <c r="A77" t="s">
        <v>105</v>
      </c>
      <c r="B77" t="s">
        <v>38</v>
      </c>
      <c r="C77">
        <v>1854</v>
      </c>
      <c r="D77">
        <v>161</v>
      </c>
      <c r="E77">
        <v>282466</v>
      </c>
      <c r="F77">
        <v>5.17</v>
      </c>
      <c r="G77">
        <v>1810</v>
      </c>
      <c r="H77">
        <v>44</v>
      </c>
      <c r="J77" s="7" t="s">
        <v>400</v>
      </c>
      <c r="K77">
        <v>-12693</v>
      </c>
    </row>
    <row r="78" spans="1:11" x14ac:dyDescent="0.3">
      <c r="A78" t="s">
        <v>398</v>
      </c>
      <c r="B78" t="s">
        <v>38</v>
      </c>
      <c r="C78">
        <v>1696</v>
      </c>
      <c r="D78">
        <v>71</v>
      </c>
      <c r="E78">
        <v>421957</v>
      </c>
      <c r="F78">
        <v>3.79</v>
      </c>
      <c r="G78">
        <v>36103</v>
      </c>
      <c r="H78">
        <v>-34407</v>
      </c>
      <c r="J78" s="7" t="s">
        <v>406</v>
      </c>
      <c r="K78">
        <v>-2095</v>
      </c>
    </row>
    <row r="79" spans="1:11" x14ac:dyDescent="0.3">
      <c r="A79" t="s">
        <v>281</v>
      </c>
      <c r="B79" t="s">
        <v>38</v>
      </c>
      <c r="C79">
        <v>1494</v>
      </c>
      <c r="D79">
        <v>375</v>
      </c>
      <c r="E79">
        <v>220616</v>
      </c>
      <c r="F79">
        <v>1.81</v>
      </c>
      <c r="G79">
        <v>22724</v>
      </c>
      <c r="H79">
        <v>-21230</v>
      </c>
      <c r="J79" s="7" t="s">
        <v>396</v>
      </c>
      <c r="K79">
        <v>-34870</v>
      </c>
    </row>
    <row r="80" spans="1:11" x14ac:dyDescent="0.3">
      <c r="A80" t="s">
        <v>213</v>
      </c>
      <c r="B80" t="s">
        <v>38</v>
      </c>
      <c r="C80">
        <v>1502</v>
      </c>
      <c r="D80">
        <v>70</v>
      </c>
      <c r="E80">
        <v>465553</v>
      </c>
      <c r="F80">
        <v>3.32</v>
      </c>
      <c r="G80">
        <v>20692</v>
      </c>
      <c r="H80">
        <v>-19190</v>
      </c>
      <c r="J80" s="7" t="s">
        <v>222</v>
      </c>
      <c r="K80">
        <v>-8780</v>
      </c>
    </row>
    <row r="81" spans="1:11" x14ac:dyDescent="0.3">
      <c r="A81" t="s">
        <v>135</v>
      </c>
      <c r="B81" t="s">
        <v>38</v>
      </c>
      <c r="C81">
        <v>1092</v>
      </c>
      <c r="D81">
        <v>408</v>
      </c>
      <c r="E81">
        <v>280795</v>
      </c>
      <c r="F81">
        <v>8.44</v>
      </c>
      <c r="G81">
        <v>4683</v>
      </c>
      <c r="H81">
        <v>-3591</v>
      </c>
      <c r="J81" s="7" t="s">
        <v>392</v>
      </c>
      <c r="K81">
        <v>-21161</v>
      </c>
    </row>
    <row r="82" spans="1:11" x14ac:dyDescent="0.3">
      <c r="A82" t="s">
        <v>399</v>
      </c>
      <c r="B82" t="s">
        <v>38</v>
      </c>
      <c r="C82">
        <v>1814</v>
      </c>
      <c r="D82">
        <v>49</v>
      </c>
      <c r="E82">
        <v>140804</v>
      </c>
      <c r="F82">
        <v>1.76</v>
      </c>
      <c r="G82">
        <v>4313</v>
      </c>
      <c r="H82">
        <v>-2499</v>
      </c>
      <c r="J82" s="7" t="s">
        <v>213</v>
      </c>
      <c r="K82">
        <v>-19190</v>
      </c>
    </row>
    <row r="83" spans="1:11" x14ac:dyDescent="0.3">
      <c r="A83" t="s">
        <v>319</v>
      </c>
      <c r="B83" t="s">
        <v>38</v>
      </c>
      <c r="C83">
        <v>1013</v>
      </c>
      <c r="D83">
        <v>110</v>
      </c>
      <c r="E83">
        <v>466382</v>
      </c>
      <c r="F83">
        <v>5.3</v>
      </c>
      <c r="G83">
        <v>37132</v>
      </c>
      <c r="H83">
        <v>-36119</v>
      </c>
      <c r="J83" s="7" t="s">
        <v>210</v>
      </c>
      <c r="K83">
        <v>-42959</v>
      </c>
    </row>
    <row r="84" spans="1:11" x14ac:dyDescent="0.3">
      <c r="A84" t="s">
        <v>400</v>
      </c>
      <c r="B84" t="s">
        <v>38</v>
      </c>
      <c r="C84">
        <v>1855</v>
      </c>
      <c r="D84">
        <v>133</v>
      </c>
      <c r="E84">
        <v>349413</v>
      </c>
      <c r="F84">
        <v>3.3</v>
      </c>
      <c r="G84">
        <v>14548</v>
      </c>
      <c r="H84">
        <v>-12693</v>
      </c>
      <c r="J84" s="7" t="s">
        <v>404</v>
      </c>
      <c r="K84">
        <v>-8378</v>
      </c>
    </row>
    <row r="85" spans="1:11" x14ac:dyDescent="0.3">
      <c r="A85" t="s">
        <v>401</v>
      </c>
      <c r="B85" t="s">
        <v>38</v>
      </c>
      <c r="C85">
        <v>1748</v>
      </c>
      <c r="D85">
        <v>176</v>
      </c>
      <c r="E85">
        <v>383681</v>
      </c>
      <c r="F85">
        <v>9.24</v>
      </c>
      <c r="G85">
        <v>43122</v>
      </c>
      <c r="H85">
        <v>-41374</v>
      </c>
      <c r="J85" s="7" t="s">
        <v>206</v>
      </c>
      <c r="K85">
        <v>-10281</v>
      </c>
    </row>
    <row r="86" spans="1:11" x14ac:dyDescent="0.3">
      <c r="A86" t="s">
        <v>93</v>
      </c>
      <c r="B86" t="s">
        <v>38</v>
      </c>
      <c r="C86">
        <v>115</v>
      </c>
      <c r="D86">
        <v>281</v>
      </c>
      <c r="E86">
        <v>357265</v>
      </c>
      <c r="F86">
        <v>9.23</v>
      </c>
      <c r="G86">
        <v>25525</v>
      </c>
      <c r="H86">
        <v>-25410</v>
      </c>
      <c r="J86" s="7" t="s">
        <v>188</v>
      </c>
      <c r="K86">
        <v>-29346</v>
      </c>
    </row>
    <row r="87" spans="1:11" x14ac:dyDescent="0.3">
      <c r="A87" t="s">
        <v>402</v>
      </c>
      <c r="B87" t="s">
        <v>38</v>
      </c>
      <c r="C87">
        <v>1556</v>
      </c>
      <c r="D87">
        <v>476</v>
      </c>
      <c r="E87">
        <v>351556</v>
      </c>
      <c r="F87">
        <v>3.89</v>
      </c>
      <c r="G87">
        <v>10825</v>
      </c>
      <c r="H87">
        <v>-9269</v>
      </c>
      <c r="J87" s="7" t="s">
        <v>178</v>
      </c>
      <c r="K87">
        <v>-35286</v>
      </c>
    </row>
    <row r="88" spans="1:11" x14ac:dyDescent="0.3">
      <c r="A88" t="s">
        <v>275</v>
      </c>
      <c r="B88" t="s">
        <v>38</v>
      </c>
      <c r="C88">
        <v>1957</v>
      </c>
      <c r="D88">
        <v>234</v>
      </c>
      <c r="E88">
        <v>222126</v>
      </c>
      <c r="F88">
        <v>4.6100000000000003</v>
      </c>
      <c r="G88">
        <v>3314</v>
      </c>
      <c r="H88">
        <v>-1357</v>
      </c>
      <c r="J88" s="7" t="s">
        <v>401</v>
      </c>
      <c r="K88">
        <v>-41374</v>
      </c>
    </row>
    <row r="89" spans="1:11" x14ac:dyDescent="0.3">
      <c r="A89" t="s">
        <v>210</v>
      </c>
      <c r="B89" t="s">
        <v>38</v>
      </c>
      <c r="C89">
        <v>1138</v>
      </c>
      <c r="D89">
        <v>173</v>
      </c>
      <c r="E89">
        <v>453243</v>
      </c>
      <c r="F89">
        <v>2.86</v>
      </c>
      <c r="G89">
        <v>44097</v>
      </c>
      <c r="H89">
        <v>-42959</v>
      </c>
      <c r="J89" s="7" t="s">
        <v>407</v>
      </c>
      <c r="K89">
        <v>-17732</v>
      </c>
    </row>
    <row r="90" spans="1:11" x14ac:dyDescent="0.3">
      <c r="A90" t="s">
        <v>131</v>
      </c>
      <c r="B90" t="s">
        <v>38</v>
      </c>
      <c r="C90">
        <v>1440</v>
      </c>
      <c r="D90">
        <v>65</v>
      </c>
      <c r="E90">
        <v>126524</v>
      </c>
      <c r="F90">
        <v>4.34</v>
      </c>
      <c r="G90">
        <v>49772</v>
      </c>
      <c r="H90">
        <v>-48332</v>
      </c>
      <c r="J90" s="7" t="s">
        <v>159</v>
      </c>
      <c r="K90">
        <v>-31775</v>
      </c>
    </row>
    <row r="91" spans="1:11" x14ac:dyDescent="0.3">
      <c r="A91" t="s">
        <v>355</v>
      </c>
      <c r="B91" t="s">
        <v>38</v>
      </c>
      <c r="C91">
        <v>1371</v>
      </c>
      <c r="D91">
        <v>56</v>
      </c>
      <c r="E91">
        <v>257579</v>
      </c>
      <c r="F91">
        <v>8.6199999999999992</v>
      </c>
      <c r="G91">
        <v>33799</v>
      </c>
      <c r="H91">
        <v>-32428</v>
      </c>
      <c r="J91" s="7" t="s">
        <v>391</v>
      </c>
      <c r="K91">
        <v>-16820</v>
      </c>
    </row>
    <row r="92" spans="1:11" x14ac:dyDescent="0.3">
      <c r="A92" t="s">
        <v>403</v>
      </c>
      <c r="B92" t="s">
        <v>38</v>
      </c>
      <c r="C92">
        <v>393</v>
      </c>
      <c r="D92">
        <v>181</v>
      </c>
      <c r="E92">
        <v>462142</v>
      </c>
      <c r="F92">
        <v>7.23</v>
      </c>
      <c r="G92">
        <v>6296</v>
      </c>
      <c r="H92">
        <v>-5903</v>
      </c>
      <c r="J92" s="7" t="s">
        <v>393</v>
      </c>
      <c r="K92">
        <v>-266</v>
      </c>
    </row>
    <row r="93" spans="1:11" x14ac:dyDescent="0.3">
      <c r="A93" t="s">
        <v>404</v>
      </c>
      <c r="B93" t="s">
        <v>38</v>
      </c>
      <c r="C93">
        <v>1102</v>
      </c>
      <c r="D93">
        <v>422</v>
      </c>
      <c r="E93">
        <v>410330</v>
      </c>
      <c r="F93">
        <v>7.74</v>
      </c>
      <c r="G93">
        <v>9480</v>
      </c>
      <c r="H93">
        <v>-8378</v>
      </c>
      <c r="J93" s="7" t="s">
        <v>135</v>
      </c>
      <c r="K93">
        <v>-3591</v>
      </c>
    </row>
    <row r="94" spans="1:11" x14ac:dyDescent="0.3">
      <c r="A94" t="s">
        <v>128</v>
      </c>
      <c r="B94" t="s">
        <v>38</v>
      </c>
      <c r="C94">
        <v>490</v>
      </c>
      <c r="D94">
        <v>29</v>
      </c>
      <c r="E94">
        <v>364810</v>
      </c>
      <c r="F94">
        <v>1.53</v>
      </c>
      <c r="G94">
        <v>49077</v>
      </c>
      <c r="H94">
        <v>-48587</v>
      </c>
      <c r="J94" s="7" t="s">
        <v>131</v>
      </c>
      <c r="K94">
        <v>-48332</v>
      </c>
    </row>
    <row r="95" spans="1:11" x14ac:dyDescent="0.3">
      <c r="A95" t="s">
        <v>405</v>
      </c>
      <c r="B95" t="s">
        <v>38</v>
      </c>
      <c r="C95">
        <v>1033</v>
      </c>
      <c r="D95">
        <v>392</v>
      </c>
      <c r="E95">
        <v>282780</v>
      </c>
      <c r="F95">
        <v>6.27</v>
      </c>
      <c r="G95">
        <v>23140</v>
      </c>
      <c r="H95">
        <v>-22107</v>
      </c>
      <c r="J95" s="7" t="s">
        <v>128</v>
      </c>
      <c r="K95">
        <v>-48587</v>
      </c>
    </row>
    <row r="96" spans="1:11" x14ac:dyDescent="0.3">
      <c r="A96" t="s">
        <v>304</v>
      </c>
      <c r="B96" t="s">
        <v>38</v>
      </c>
      <c r="C96">
        <v>559</v>
      </c>
      <c r="D96">
        <v>392</v>
      </c>
      <c r="E96">
        <v>78789</v>
      </c>
      <c r="F96">
        <v>3.19</v>
      </c>
      <c r="G96">
        <v>2436</v>
      </c>
      <c r="H96">
        <v>-1877</v>
      </c>
      <c r="J96" s="7" t="s">
        <v>122</v>
      </c>
      <c r="K96">
        <v>-17139</v>
      </c>
    </row>
    <row r="97" spans="1:11" x14ac:dyDescent="0.3">
      <c r="A97" t="s">
        <v>406</v>
      </c>
      <c r="B97" t="s">
        <v>38</v>
      </c>
      <c r="C97">
        <v>198</v>
      </c>
      <c r="D97">
        <v>358</v>
      </c>
      <c r="E97">
        <v>66682</v>
      </c>
      <c r="F97">
        <v>6.73</v>
      </c>
      <c r="G97">
        <v>2293</v>
      </c>
      <c r="H97">
        <v>-2095</v>
      </c>
      <c r="J97" s="7" t="s">
        <v>105</v>
      </c>
      <c r="K97">
        <v>44</v>
      </c>
    </row>
    <row r="98" spans="1:11" x14ac:dyDescent="0.3">
      <c r="A98" t="s">
        <v>407</v>
      </c>
      <c r="B98" t="s">
        <v>38</v>
      </c>
      <c r="C98">
        <v>961</v>
      </c>
      <c r="D98">
        <v>358</v>
      </c>
      <c r="E98">
        <v>62942</v>
      </c>
      <c r="F98">
        <v>6.8</v>
      </c>
      <c r="G98">
        <v>18693</v>
      </c>
      <c r="H98">
        <v>-17732</v>
      </c>
      <c r="J98" s="7" t="s">
        <v>97</v>
      </c>
      <c r="K98">
        <v>-23228</v>
      </c>
    </row>
    <row r="99" spans="1:11" x14ac:dyDescent="0.3">
      <c r="A99" t="s">
        <v>76</v>
      </c>
      <c r="B99" t="s">
        <v>38</v>
      </c>
      <c r="C99">
        <v>1693</v>
      </c>
      <c r="D99">
        <v>154</v>
      </c>
      <c r="E99">
        <v>445944</v>
      </c>
      <c r="F99">
        <v>5.69</v>
      </c>
      <c r="G99">
        <v>14216</v>
      </c>
      <c r="H99">
        <v>-12523</v>
      </c>
      <c r="J99" s="7" t="s">
        <v>93</v>
      </c>
      <c r="K99">
        <v>-25410</v>
      </c>
    </row>
    <row r="100" spans="1:11" x14ac:dyDescent="0.3">
      <c r="A100" t="s">
        <v>329</v>
      </c>
      <c r="B100" t="s">
        <v>38</v>
      </c>
      <c r="C100">
        <v>1957</v>
      </c>
      <c r="D100">
        <v>76</v>
      </c>
      <c r="E100">
        <v>447902</v>
      </c>
      <c r="F100">
        <v>6.09</v>
      </c>
      <c r="G100">
        <v>33381</v>
      </c>
      <c r="H100">
        <v>-31424</v>
      </c>
      <c r="J100" s="7" t="s">
        <v>76</v>
      </c>
      <c r="K100">
        <v>-12523</v>
      </c>
    </row>
    <row r="101" spans="1:11" x14ac:dyDescent="0.3">
      <c r="A101" t="s">
        <v>252</v>
      </c>
      <c r="B101" t="s">
        <v>38</v>
      </c>
      <c r="C101">
        <v>1765</v>
      </c>
      <c r="D101">
        <v>109</v>
      </c>
      <c r="E101">
        <v>468301</v>
      </c>
      <c r="F101">
        <v>1.82</v>
      </c>
      <c r="G101">
        <v>20042</v>
      </c>
      <c r="H101">
        <v>-18277</v>
      </c>
      <c r="J101" s="7" t="s">
        <v>72</v>
      </c>
      <c r="K101">
        <v>-12474</v>
      </c>
    </row>
    <row r="102" spans="1:11" x14ac:dyDescent="0.3">
      <c r="A102" t="s">
        <v>351</v>
      </c>
      <c r="B102" t="s">
        <v>23</v>
      </c>
      <c r="C102">
        <v>584</v>
      </c>
      <c r="D102">
        <v>169</v>
      </c>
      <c r="E102">
        <v>146834</v>
      </c>
      <c r="F102">
        <v>8.31</v>
      </c>
      <c r="G102">
        <v>26752</v>
      </c>
      <c r="H102">
        <v>-26168</v>
      </c>
      <c r="J102" s="7" t="s">
        <v>56</v>
      </c>
      <c r="K102">
        <v>-14700</v>
      </c>
    </row>
    <row r="103" spans="1:11" x14ac:dyDescent="0.3">
      <c r="A103" t="s">
        <v>271</v>
      </c>
      <c r="B103" t="s">
        <v>23</v>
      </c>
      <c r="C103">
        <v>436</v>
      </c>
      <c r="D103">
        <v>250</v>
      </c>
      <c r="E103">
        <v>254347</v>
      </c>
      <c r="F103">
        <v>4.01</v>
      </c>
      <c r="G103">
        <v>8912</v>
      </c>
      <c r="H103">
        <v>-8476</v>
      </c>
      <c r="J103" s="7" t="s">
        <v>394</v>
      </c>
      <c r="K103">
        <v>-29142</v>
      </c>
    </row>
    <row r="104" spans="1:11" x14ac:dyDescent="0.3">
      <c r="A104" t="s">
        <v>206</v>
      </c>
      <c r="B104" t="s">
        <v>23</v>
      </c>
      <c r="C104">
        <v>1335</v>
      </c>
      <c r="D104">
        <v>40</v>
      </c>
      <c r="E104">
        <v>122732</v>
      </c>
      <c r="F104">
        <v>8.19</v>
      </c>
      <c r="G104">
        <v>22482</v>
      </c>
      <c r="H104">
        <v>-21147</v>
      </c>
      <c r="J104" s="7" t="s">
        <v>399</v>
      </c>
      <c r="K104">
        <v>-2499</v>
      </c>
    </row>
    <row r="105" spans="1:11" x14ac:dyDescent="0.3">
      <c r="A105" t="s">
        <v>122</v>
      </c>
      <c r="B105" t="s">
        <v>23</v>
      </c>
      <c r="C105">
        <v>1238</v>
      </c>
      <c r="D105">
        <v>403</v>
      </c>
      <c r="E105">
        <v>298421</v>
      </c>
      <c r="F105">
        <v>3.5</v>
      </c>
      <c r="G105">
        <v>31280</v>
      </c>
      <c r="H105">
        <v>-30042</v>
      </c>
      <c r="J105" s="7" t="s">
        <v>405</v>
      </c>
      <c r="K105">
        <v>-22107</v>
      </c>
    </row>
    <row r="106" spans="1:11" x14ac:dyDescent="0.3">
      <c r="A106" t="s">
        <v>376</v>
      </c>
      <c r="B106" t="s">
        <v>23</v>
      </c>
      <c r="C106">
        <v>1420</v>
      </c>
      <c r="D106">
        <v>63</v>
      </c>
      <c r="E106">
        <v>315305</v>
      </c>
      <c r="F106">
        <v>6.19</v>
      </c>
      <c r="G106">
        <v>5914</v>
      </c>
      <c r="H106">
        <v>-4494</v>
      </c>
      <c r="J106" s="6" t="s">
        <v>23</v>
      </c>
      <c r="K106">
        <v>-20137.46</v>
      </c>
    </row>
    <row r="107" spans="1:11" x14ac:dyDescent="0.3">
      <c r="A107" t="s">
        <v>390</v>
      </c>
      <c r="B107" t="s">
        <v>23</v>
      </c>
      <c r="C107">
        <v>987</v>
      </c>
      <c r="D107">
        <v>440</v>
      </c>
      <c r="E107">
        <v>389810</v>
      </c>
      <c r="F107">
        <v>4.66</v>
      </c>
      <c r="G107">
        <v>2932</v>
      </c>
      <c r="H107">
        <v>-1945</v>
      </c>
      <c r="J107" s="7" t="s">
        <v>376</v>
      </c>
      <c r="K107">
        <v>-4494</v>
      </c>
    </row>
    <row r="108" spans="1:11" x14ac:dyDescent="0.3">
      <c r="A108" t="s">
        <v>222</v>
      </c>
      <c r="B108" t="s">
        <v>23</v>
      </c>
      <c r="C108">
        <v>704</v>
      </c>
      <c r="D108">
        <v>275</v>
      </c>
      <c r="E108">
        <v>226002</v>
      </c>
      <c r="F108">
        <v>8.56</v>
      </c>
      <c r="G108">
        <v>32393</v>
      </c>
      <c r="H108">
        <v>-31689</v>
      </c>
      <c r="J108" s="7" t="s">
        <v>363</v>
      </c>
      <c r="K108">
        <v>-25240</v>
      </c>
    </row>
    <row r="109" spans="1:11" x14ac:dyDescent="0.3">
      <c r="A109" t="s">
        <v>391</v>
      </c>
      <c r="B109" t="s">
        <v>23</v>
      </c>
      <c r="C109">
        <v>1701</v>
      </c>
      <c r="D109">
        <v>385</v>
      </c>
      <c r="E109">
        <v>198278</v>
      </c>
      <c r="F109">
        <v>5.34</v>
      </c>
      <c r="G109">
        <v>32763</v>
      </c>
      <c r="H109">
        <v>-31062</v>
      </c>
      <c r="J109" s="7" t="s">
        <v>398</v>
      </c>
      <c r="K109">
        <v>-2014</v>
      </c>
    </row>
    <row r="110" spans="1:11" x14ac:dyDescent="0.3">
      <c r="A110" t="s">
        <v>56</v>
      </c>
      <c r="B110" t="s">
        <v>23</v>
      </c>
      <c r="C110">
        <v>1756</v>
      </c>
      <c r="D110">
        <v>261</v>
      </c>
      <c r="E110">
        <v>287574</v>
      </c>
      <c r="F110">
        <v>4.3600000000000003</v>
      </c>
      <c r="G110">
        <v>39272</v>
      </c>
      <c r="H110">
        <v>-37516</v>
      </c>
      <c r="J110" s="7" t="s">
        <v>402</v>
      </c>
      <c r="K110">
        <v>-47343</v>
      </c>
    </row>
    <row r="111" spans="1:11" x14ac:dyDescent="0.3">
      <c r="A111" t="s">
        <v>325</v>
      </c>
      <c r="B111" t="s">
        <v>23</v>
      </c>
      <c r="C111">
        <v>826</v>
      </c>
      <c r="D111">
        <v>498</v>
      </c>
      <c r="E111">
        <v>449994</v>
      </c>
      <c r="F111">
        <v>9.43</v>
      </c>
      <c r="G111">
        <v>12384</v>
      </c>
      <c r="H111">
        <v>-11558</v>
      </c>
      <c r="J111" s="7" t="s">
        <v>355</v>
      </c>
      <c r="K111">
        <v>-9056</v>
      </c>
    </row>
    <row r="112" spans="1:11" x14ac:dyDescent="0.3">
      <c r="A112" t="s">
        <v>248</v>
      </c>
      <c r="B112" t="s">
        <v>23</v>
      </c>
      <c r="C112">
        <v>485</v>
      </c>
      <c r="D112">
        <v>448</v>
      </c>
      <c r="E112">
        <v>434883</v>
      </c>
      <c r="F112">
        <v>8.5500000000000007</v>
      </c>
      <c r="G112">
        <v>33258</v>
      </c>
      <c r="H112">
        <v>-32773</v>
      </c>
      <c r="J112" s="7" t="s">
        <v>351</v>
      </c>
      <c r="K112">
        <v>-26168</v>
      </c>
    </row>
    <row r="113" spans="1:11" x14ac:dyDescent="0.3">
      <c r="A113" t="s">
        <v>178</v>
      </c>
      <c r="B113" t="s">
        <v>23</v>
      </c>
      <c r="C113">
        <v>1751</v>
      </c>
      <c r="D113">
        <v>86</v>
      </c>
      <c r="E113">
        <v>188655</v>
      </c>
      <c r="F113">
        <v>7.24</v>
      </c>
      <c r="G113">
        <v>22206</v>
      </c>
      <c r="H113">
        <v>-20455</v>
      </c>
      <c r="J113" s="7" t="s">
        <v>333</v>
      </c>
      <c r="K113">
        <v>-34274</v>
      </c>
    </row>
    <row r="114" spans="1:11" x14ac:dyDescent="0.3">
      <c r="A114" t="s">
        <v>97</v>
      </c>
      <c r="B114" t="s">
        <v>23</v>
      </c>
      <c r="C114">
        <v>1300</v>
      </c>
      <c r="D114">
        <v>71</v>
      </c>
      <c r="E114">
        <v>186454</v>
      </c>
      <c r="F114">
        <v>3.91</v>
      </c>
      <c r="G114">
        <v>9942</v>
      </c>
      <c r="H114">
        <v>-8642</v>
      </c>
      <c r="J114" s="7" t="s">
        <v>329</v>
      </c>
      <c r="K114">
        <v>-14568</v>
      </c>
    </row>
    <row r="115" spans="1:11" x14ac:dyDescent="0.3">
      <c r="A115" t="s">
        <v>363</v>
      </c>
      <c r="B115" t="s">
        <v>23</v>
      </c>
      <c r="C115">
        <v>557</v>
      </c>
      <c r="D115">
        <v>360</v>
      </c>
      <c r="E115">
        <v>318779</v>
      </c>
      <c r="F115">
        <v>8.02</v>
      </c>
      <c r="G115">
        <v>25797</v>
      </c>
      <c r="H115">
        <v>-25240</v>
      </c>
      <c r="J115" s="7" t="s">
        <v>325</v>
      </c>
      <c r="K115">
        <v>-11558</v>
      </c>
    </row>
    <row r="116" spans="1:11" x14ac:dyDescent="0.3">
      <c r="A116" t="s">
        <v>285</v>
      </c>
      <c r="B116" t="s">
        <v>23</v>
      </c>
      <c r="C116">
        <v>751</v>
      </c>
      <c r="D116">
        <v>491</v>
      </c>
      <c r="E116">
        <v>434047</v>
      </c>
      <c r="F116">
        <v>9.24</v>
      </c>
      <c r="G116">
        <v>15476</v>
      </c>
      <c r="H116">
        <v>-14725</v>
      </c>
      <c r="J116" s="7" t="s">
        <v>319</v>
      </c>
      <c r="K116">
        <v>-1165</v>
      </c>
    </row>
    <row r="117" spans="1:11" x14ac:dyDescent="0.3">
      <c r="A117" t="s">
        <v>392</v>
      </c>
      <c r="B117" t="s">
        <v>23</v>
      </c>
      <c r="C117">
        <v>1472</v>
      </c>
      <c r="D117">
        <v>347</v>
      </c>
      <c r="E117">
        <v>392355</v>
      </c>
      <c r="F117">
        <v>8.59</v>
      </c>
      <c r="G117">
        <v>30270</v>
      </c>
      <c r="H117">
        <v>-28798</v>
      </c>
      <c r="J117" s="7" t="s">
        <v>304</v>
      </c>
      <c r="K117">
        <v>-41532</v>
      </c>
    </row>
    <row r="118" spans="1:11" x14ac:dyDescent="0.3">
      <c r="A118" t="s">
        <v>393</v>
      </c>
      <c r="B118" t="s">
        <v>23</v>
      </c>
      <c r="C118">
        <v>1911</v>
      </c>
      <c r="D118">
        <v>231</v>
      </c>
      <c r="E118">
        <v>268516</v>
      </c>
      <c r="F118">
        <v>8.5500000000000007</v>
      </c>
      <c r="G118">
        <v>24018</v>
      </c>
      <c r="H118">
        <v>-22107</v>
      </c>
      <c r="J118" s="7" t="s">
        <v>395</v>
      </c>
      <c r="K118">
        <v>-4072</v>
      </c>
    </row>
    <row r="119" spans="1:11" x14ac:dyDescent="0.3">
      <c r="A119" t="s">
        <v>394</v>
      </c>
      <c r="B119" t="s">
        <v>23</v>
      </c>
      <c r="C119">
        <v>752</v>
      </c>
      <c r="D119">
        <v>153</v>
      </c>
      <c r="E119">
        <v>64906</v>
      </c>
      <c r="F119">
        <v>2.09</v>
      </c>
      <c r="G119">
        <v>12148</v>
      </c>
      <c r="H119">
        <v>-11396</v>
      </c>
      <c r="J119" s="7" t="s">
        <v>390</v>
      </c>
      <c r="K119">
        <v>-1945</v>
      </c>
    </row>
    <row r="120" spans="1:11" x14ac:dyDescent="0.3">
      <c r="A120" t="s">
        <v>395</v>
      </c>
      <c r="B120" t="s">
        <v>23</v>
      </c>
      <c r="C120">
        <v>437</v>
      </c>
      <c r="D120">
        <v>330</v>
      </c>
      <c r="E120">
        <v>476486</v>
      </c>
      <c r="F120">
        <v>4.97</v>
      </c>
      <c r="G120">
        <v>4509</v>
      </c>
      <c r="H120">
        <v>-4072</v>
      </c>
      <c r="J120" s="7" t="s">
        <v>285</v>
      </c>
      <c r="K120">
        <v>-14725</v>
      </c>
    </row>
    <row r="121" spans="1:11" x14ac:dyDescent="0.3">
      <c r="A121" t="s">
        <v>396</v>
      </c>
      <c r="B121" t="s">
        <v>23</v>
      </c>
      <c r="C121">
        <v>201</v>
      </c>
      <c r="D121">
        <v>221</v>
      </c>
      <c r="E121">
        <v>309772</v>
      </c>
      <c r="F121">
        <v>5.9</v>
      </c>
      <c r="G121">
        <v>33174</v>
      </c>
      <c r="H121">
        <v>-32973</v>
      </c>
      <c r="J121" s="7" t="s">
        <v>281</v>
      </c>
      <c r="K121">
        <v>-18924</v>
      </c>
    </row>
    <row r="122" spans="1:11" x14ac:dyDescent="0.3">
      <c r="A122" t="s">
        <v>159</v>
      </c>
      <c r="B122" t="s">
        <v>23</v>
      </c>
      <c r="C122">
        <v>697</v>
      </c>
      <c r="D122">
        <v>61</v>
      </c>
      <c r="E122">
        <v>258287</v>
      </c>
      <c r="F122">
        <v>8.25</v>
      </c>
      <c r="G122">
        <v>21208</v>
      </c>
      <c r="H122">
        <v>-20511</v>
      </c>
      <c r="J122" s="7" t="s">
        <v>275</v>
      </c>
      <c r="K122">
        <v>-41245</v>
      </c>
    </row>
    <row r="123" spans="1:11" x14ac:dyDescent="0.3">
      <c r="A123" t="s">
        <v>72</v>
      </c>
      <c r="B123" t="s">
        <v>23</v>
      </c>
      <c r="C123">
        <v>191</v>
      </c>
      <c r="D123">
        <v>154</v>
      </c>
      <c r="E123">
        <v>240550</v>
      </c>
      <c r="F123">
        <v>5.22</v>
      </c>
      <c r="G123">
        <v>15827</v>
      </c>
      <c r="H123">
        <v>-15636</v>
      </c>
      <c r="J123" s="7" t="s">
        <v>403</v>
      </c>
      <c r="K123">
        <v>-13323</v>
      </c>
    </row>
    <row r="124" spans="1:11" x14ac:dyDescent="0.3">
      <c r="A124" t="s">
        <v>333</v>
      </c>
      <c r="B124" t="s">
        <v>23</v>
      </c>
      <c r="C124">
        <v>1821</v>
      </c>
      <c r="D124">
        <v>218</v>
      </c>
      <c r="E124">
        <v>439080</v>
      </c>
      <c r="F124">
        <v>5.68</v>
      </c>
      <c r="G124">
        <v>36095</v>
      </c>
      <c r="H124">
        <v>-34274</v>
      </c>
      <c r="J124" s="7" t="s">
        <v>271</v>
      </c>
      <c r="K124">
        <v>-8476</v>
      </c>
    </row>
    <row r="125" spans="1:11" x14ac:dyDescent="0.3">
      <c r="A125" t="s">
        <v>397</v>
      </c>
      <c r="B125" t="s">
        <v>23</v>
      </c>
      <c r="C125">
        <v>1487</v>
      </c>
      <c r="D125">
        <v>337</v>
      </c>
      <c r="E125">
        <v>87305</v>
      </c>
      <c r="F125">
        <v>2.46</v>
      </c>
      <c r="G125">
        <v>30428</v>
      </c>
      <c r="H125">
        <v>-28941</v>
      </c>
      <c r="J125" s="7" t="s">
        <v>397</v>
      </c>
      <c r="K125">
        <v>-28941</v>
      </c>
    </row>
    <row r="126" spans="1:11" x14ac:dyDescent="0.3">
      <c r="A126" t="s">
        <v>188</v>
      </c>
      <c r="B126" t="s">
        <v>23</v>
      </c>
      <c r="C126">
        <v>628</v>
      </c>
      <c r="D126">
        <v>183</v>
      </c>
      <c r="E126">
        <v>487523</v>
      </c>
      <c r="F126">
        <v>7.32</v>
      </c>
      <c r="G126">
        <v>5391</v>
      </c>
      <c r="H126">
        <v>-4763</v>
      </c>
      <c r="J126" s="7" t="s">
        <v>252</v>
      </c>
      <c r="K126">
        <v>-3670</v>
      </c>
    </row>
    <row r="127" spans="1:11" x14ac:dyDescent="0.3">
      <c r="A127" t="s">
        <v>105</v>
      </c>
      <c r="B127" t="s">
        <v>23</v>
      </c>
      <c r="C127">
        <v>330</v>
      </c>
      <c r="D127">
        <v>232</v>
      </c>
      <c r="E127">
        <v>88455</v>
      </c>
      <c r="F127">
        <v>2.69</v>
      </c>
      <c r="G127">
        <v>39530</v>
      </c>
      <c r="H127">
        <v>-39200</v>
      </c>
      <c r="J127" s="7" t="s">
        <v>248</v>
      </c>
      <c r="K127">
        <v>-32773</v>
      </c>
    </row>
    <row r="128" spans="1:11" x14ac:dyDescent="0.3">
      <c r="A128" t="s">
        <v>398</v>
      </c>
      <c r="B128" t="s">
        <v>23</v>
      </c>
      <c r="C128">
        <v>1441</v>
      </c>
      <c r="D128">
        <v>268</v>
      </c>
      <c r="E128">
        <v>309904</v>
      </c>
      <c r="F128">
        <v>6.37</v>
      </c>
      <c r="G128">
        <v>3455</v>
      </c>
      <c r="H128">
        <v>-2014</v>
      </c>
      <c r="J128" s="7" t="s">
        <v>400</v>
      </c>
      <c r="K128">
        <v>-12232</v>
      </c>
    </row>
    <row r="129" spans="1:11" x14ac:dyDescent="0.3">
      <c r="A129" t="s">
        <v>281</v>
      </c>
      <c r="B129" t="s">
        <v>23</v>
      </c>
      <c r="C129">
        <v>1937</v>
      </c>
      <c r="D129">
        <v>210</v>
      </c>
      <c r="E129">
        <v>20607</v>
      </c>
      <c r="F129">
        <v>4.2</v>
      </c>
      <c r="G129">
        <v>20861</v>
      </c>
      <c r="H129">
        <v>-18924</v>
      </c>
      <c r="J129" s="7" t="s">
        <v>406</v>
      </c>
      <c r="K129">
        <v>-10682</v>
      </c>
    </row>
    <row r="130" spans="1:11" x14ac:dyDescent="0.3">
      <c r="A130" t="s">
        <v>213</v>
      </c>
      <c r="B130" t="s">
        <v>23</v>
      </c>
      <c r="C130">
        <v>1592</v>
      </c>
      <c r="D130">
        <v>233</v>
      </c>
      <c r="E130">
        <v>327183</v>
      </c>
      <c r="F130">
        <v>6.66</v>
      </c>
      <c r="G130">
        <v>13316</v>
      </c>
      <c r="H130">
        <v>-11724</v>
      </c>
      <c r="J130" s="7" t="s">
        <v>396</v>
      </c>
      <c r="K130">
        <v>-32973</v>
      </c>
    </row>
    <row r="131" spans="1:11" x14ac:dyDescent="0.3">
      <c r="A131" t="s">
        <v>135</v>
      </c>
      <c r="B131" t="s">
        <v>23</v>
      </c>
      <c r="C131">
        <v>1137</v>
      </c>
      <c r="D131">
        <v>226</v>
      </c>
      <c r="E131">
        <v>81119</v>
      </c>
      <c r="F131">
        <v>7.74</v>
      </c>
      <c r="G131">
        <v>35359</v>
      </c>
      <c r="H131">
        <v>-34222</v>
      </c>
      <c r="J131" s="7" t="s">
        <v>222</v>
      </c>
      <c r="K131">
        <v>-31689</v>
      </c>
    </row>
    <row r="132" spans="1:11" x14ac:dyDescent="0.3">
      <c r="A132" t="s">
        <v>399</v>
      </c>
      <c r="B132" t="s">
        <v>23</v>
      </c>
      <c r="C132">
        <v>1786</v>
      </c>
      <c r="D132">
        <v>257</v>
      </c>
      <c r="E132">
        <v>274831</v>
      </c>
      <c r="F132">
        <v>4.68</v>
      </c>
      <c r="G132">
        <v>9118</v>
      </c>
      <c r="H132">
        <v>-7332</v>
      </c>
      <c r="J132" s="7" t="s">
        <v>392</v>
      </c>
      <c r="K132">
        <v>-28798</v>
      </c>
    </row>
    <row r="133" spans="1:11" x14ac:dyDescent="0.3">
      <c r="A133" t="s">
        <v>319</v>
      </c>
      <c r="B133" t="s">
        <v>23</v>
      </c>
      <c r="C133">
        <v>1633</v>
      </c>
      <c r="D133">
        <v>445</v>
      </c>
      <c r="E133">
        <v>371156</v>
      </c>
      <c r="F133">
        <v>2.2200000000000002</v>
      </c>
      <c r="G133">
        <v>2798</v>
      </c>
      <c r="H133">
        <v>-1165</v>
      </c>
      <c r="J133" s="7" t="s">
        <v>213</v>
      </c>
      <c r="K133">
        <v>-11724</v>
      </c>
    </row>
    <row r="134" spans="1:11" x14ac:dyDescent="0.3">
      <c r="A134" t="s">
        <v>400</v>
      </c>
      <c r="B134" t="s">
        <v>23</v>
      </c>
      <c r="C134">
        <v>118</v>
      </c>
      <c r="D134">
        <v>262</v>
      </c>
      <c r="E134">
        <v>487896</v>
      </c>
      <c r="F134">
        <v>2.56</v>
      </c>
      <c r="G134">
        <v>12350</v>
      </c>
      <c r="H134">
        <v>-12232</v>
      </c>
      <c r="J134" s="7" t="s">
        <v>210</v>
      </c>
      <c r="K134">
        <v>-37274</v>
      </c>
    </row>
    <row r="135" spans="1:11" x14ac:dyDescent="0.3">
      <c r="A135" t="s">
        <v>401</v>
      </c>
      <c r="B135" t="s">
        <v>23</v>
      </c>
      <c r="C135">
        <v>1040</v>
      </c>
      <c r="D135">
        <v>149</v>
      </c>
      <c r="E135">
        <v>124404</v>
      </c>
      <c r="F135">
        <v>5.23</v>
      </c>
      <c r="G135">
        <v>45380</v>
      </c>
      <c r="H135">
        <v>-44340</v>
      </c>
      <c r="J135" s="7" t="s">
        <v>404</v>
      </c>
      <c r="K135">
        <v>-12991</v>
      </c>
    </row>
    <row r="136" spans="1:11" x14ac:dyDescent="0.3">
      <c r="A136" t="s">
        <v>93</v>
      </c>
      <c r="B136" t="s">
        <v>23</v>
      </c>
      <c r="C136">
        <v>1501</v>
      </c>
      <c r="D136">
        <v>75</v>
      </c>
      <c r="E136">
        <v>262569</v>
      </c>
      <c r="F136">
        <v>2.0099999999999998</v>
      </c>
      <c r="G136">
        <v>19119</v>
      </c>
      <c r="H136">
        <v>-17618</v>
      </c>
      <c r="J136" s="7" t="s">
        <v>206</v>
      </c>
      <c r="K136">
        <v>-21147</v>
      </c>
    </row>
    <row r="137" spans="1:11" x14ac:dyDescent="0.3">
      <c r="A137" t="s">
        <v>402</v>
      </c>
      <c r="B137" t="s">
        <v>23</v>
      </c>
      <c r="C137">
        <v>927</v>
      </c>
      <c r="D137">
        <v>358</v>
      </c>
      <c r="E137">
        <v>177554</v>
      </c>
      <c r="F137">
        <v>6.95</v>
      </c>
      <c r="G137">
        <v>48270</v>
      </c>
      <c r="H137">
        <v>-47343</v>
      </c>
      <c r="J137" s="7" t="s">
        <v>188</v>
      </c>
      <c r="K137">
        <v>-4763</v>
      </c>
    </row>
    <row r="138" spans="1:11" x14ac:dyDescent="0.3">
      <c r="A138" t="s">
        <v>275</v>
      </c>
      <c r="B138" t="s">
        <v>23</v>
      </c>
      <c r="C138">
        <v>1587</v>
      </c>
      <c r="D138">
        <v>385</v>
      </c>
      <c r="E138">
        <v>126582</v>
      </c>
      <c r="F138">
        <v>6.99</v>
      </c>
      <c r="G138">
        <v>42832</v>
      </c>
      <c r="H138">
        <v>-41245</v>
      </c>
      <c r="J138" s="7" t="s">
        <v>178</v>
      </c>
      <c r="K138">
        <v>-20455</v>
      </c>
    </row>
    <row r="139" spans="1:11" x14ac:dyDescent="0.3">
      <c r="A139" t="s">
        <v>210</v>
      </c>
      <c r="B139" t="s">
        <v>23</v>
      </c>
      <c r="C139">
        <v>362</v>
      </c>
      <c r="D139">
        <v>399</v>
      </c>
      <c r="E139">
        <v>145608</v>
      </c>
      <c r="F139">
        <v>7.3</v>
      </c>
      <c r="G139">
        <v>37636</v>
      </c>
      <c r="H139">
        <v>-37274</v>
      </c>
      <c r="J139" s="7" t="s">
        <v>401</v>
      </c>
      <c r="K139">
        <v>-44340</v>
      </c>
    </row>
    <row r="140" spans="1:11" x14ac:dyDescent="0.3">
      <c r="A140" t="s">
        <v>131</v>
      </c>
      <c r="B140" t="s">
        <v>23</v>
      </c>
      <c r="C140">
        <v>861</v>
      </c>
      <c r="D140">
        <v>153</v>
      </c>
      <c r="E140">
        <v>317007</v>
      </c>
      <c r="F140">
        <v>3.85</v>
      </c>
      <c r="G140">
        <v>8718</v>
      </c>
      <c r="H140">
        <v>-7857</v>
      </c>
      <c r="J140" s="7" t="s">
        <v>407</v>
      </c>
      <c r="K140">
        <v>-7324</v>
      </c>
    </row>
    <row r="141" spans="1:11" x14ac:dyDescent="0.3">
      <c r="A141" t="s">
        <v>355</v>
      </c>
      <c r="B141" t="s">
        <v>23</v>
      </c>
      <c r="C141">
        <v>946</v>
      </c>
      <c r="D141">
        <v>47</v>
      </c>
      <c r="E141">
        <v>466575</v>
      </c>
      <c r="F141">
        <v>8.33</v>
      </c>
      <c r="G141">
        <v>10002</v>
      </c>
      <c r="H141">
        <v>-9056</v>
      </c>
      <c r="J141" s="7" t="s">
        <v>159</v>
      </c>
      <c r="K141">
        <v>-20511</v>
      </c>
    </row>
    <row r="142" spans="1:11" x14ac:dyDescent="0.3">
      <c r="A142" t="s">
        <v>403</v>
      </c>
      <c r="B142" t="s">
        <v>23</v>
      </c>
      <c r="C142">
        <v>1399</v>
      </c>
      <c r="D142">
        <v>49</v>
      </c>
      <c r="E142">
        <v>12471</v>
      </c>
      <c r="F142">
        <v>5.12</v>
      </c>
      <c r="G142">
        <v>14722</v>
      </c>
      <c r="H142">
        <v>-13323</v>
      </c>
      <c r="J142" s="7" t="s">
        <v>391</v>
      </c>
      <c r="K142">
        <v>-31062</v>
      </c>
    </row>
    <row r="143" spans="1:11" x14ac:dyDescent="0.3">
      <c r="A143" t="s">
        <v>404</v>
      </c>
      <c r="B143" t="s">
        <v>23</v>
      </c>
      <c r="C143">
        <v>1077</v>
      </c>
      <c r="D143">
        <v>216</v>
      </c>
      <c r="E143">
        <v>12447</v>
      </c>
      <c r="F143">
        <v>1.8</v>
      </c>
      <c r="G143">
        <v>14068</v>
      </c>
      <c r="H143">
        <v>-12991</v>
      </c>
      <c r="J143" s="7" t="s">
        <v>393</v>
      </c>
      <c r="K143">
        <v>-22107</v>
      </c>
    </row>
    <row r="144" spans="1:11" x14ac:dyDescent="0.3">
      <c r="A144" t="s">
        <v>128</v>
      </c>
      <c r="B144" t="s">
        <v>23</v>
      </c>
      <c r="C144">
        <v>364</v>
      </c>
      <c r="D144">
        <v>72</v>
      </c>
      <c r="E144">
        <v>211090</v>
      </c>
      <c r="F144">
        <v>5.53</v>
      </c>
      <c r="G144">
        <v>21061</v>
      </c>
      <c r="H144">
        <v>-20697</v>
      </c>
      <c r="J144" s="7" t="s">
        <v>135</v>
      </c>
      <c r="K144">
        <v>-34222</v>
      </c>
    </row>
    <row r="145" spans="1:11" x14ac:dyDescent="0.3">
      <c r="A145" t="s">
        <v>405</v>
      </c>
      <c r="B145" t="s">
        <v>23</v>
      </c>
      <c r="C145">
        <v>1946</v>
      </c>
      <c r="D145">
        <v>270</v>
      </c>
      <c r="E145">
        <v>198350</v>
      </c>
      <c r="F145">
        <v>7.5</v>
      </c>
      <c r="G145">
        <v>11805</v>
      </c>
      <c r="H145">
        <v>-9859</v>
      </c>
      <c r="J145" s="7" t="s">
        <v>131</v>
      </c>
      <c r="K145">
        <v>-7857</v>
      </c>
    </row>
    <row r="146" spans="1:11" x14ac:dyDescent="0.3">
      <c r="A146" t="s">
        <v>304</v>
      </c>
      <c r="B146" t="s">
        <v>23</v>
      </c>
      <c r="C146">
        <v>1432</v>
      </c>
      <c r="D146">
        <v>425</v>
      </c>
      <c r="E146">
        <v>29589</v>
      </c>
      <c r="F146">
        <v>4.5</v>
      </c>
      <c r="G146">
        <v>42964</v>
      </c>
      <c r="H146">
        <v>-41532</v>
      </c>
      <c r="J146" s="7" t="s">
        <v>128</v>
      </c>
      <c r="K146">
        <v>-20697</v>
      </c>
    </row>
    <row r="147" spans="1:11" x14ac:dyDescent="0.3">
      <c r="A147" t="s">
        <v>406</v>
      </c>
      <c r="B147" t="s">
        <v>23</v>
      </c>
      <c r="C147">
        <v>353</v>
      </c>
      <c r="D147">
        <v>300</v>
      </c>
      <c r="E147">
        <v>142507</v>
      </c>
      <c r="F147">
        <v>5.3</v>
      </c>
      <c r="G147">
        <v>11035</v>
      </c>
      <c r="H147">
        <v>-10682</v>
      </c>
      <c r="J147" s="7" t="s">
        <v>122</v>
      </c>
      <c r="K147">
        <v>-30042</v>
      </c>
    </row>
    <row r="148" spans="1:11" x14ac:dyDescent="0.3">
      <c r="A148" t="s">
        <v>407</v>
      </c>
      <c r="B148" t="s">
        <v>23</v>
      </c>
      <c r="C148">
        <v>1147</v>
      </c>
      <c r="D148">
        <v>388</v>
      </c>
      <c r="E148">
        <v>333851</v>
      </c>
      <c r="F148">
        <v>2.44</v>
      </c>
      <c r="G148">
        <v>8471</v>
      </c>
      <c r="H148">
        <v>-7324</v>
      </c>
      <c r="J148" s="7" t="s">
        <v>105</v>
      </c>
      <c r="K148">
        <v>-39200</v>
      </c>
    </row>
    <row r="149" spans="1:11" x14ac:dyDescent="0.3">
      <c r="A149" t="s">
        <v>76</v>
      </c>
      <c r="B149" t="s">
        <v>23</v>
      </c>
      <c r="C149">
        <v>1222</v>
      </c>
      <c r="D149">
        <v>274</v>
      </c>
      <c r="E149">
        <v>487289</v>
      </c>
      <c r="F149">
        <v>3.16</v>
      </c>
      <c r="G149">
        <v>32500</v>
      </c>
      <c r="H149">
        <v>-31278</v>
      </c>
      <c r="J149" s="7" t="s">
        <v>97</v>
      </c>
      <c r="K149">
        <v>-8642</v>
      </c>
    </row>
    <row r="150" spans="1:11" x14ac:dyDescent="0.3">
      <c r="A150" t="s">
        <v>329</v>
      </c>
      <c r="B150" t="s">
        <v>23</v>
      </c>
      <c r="C150">
        <v>1581</v>
      </c>
      <c r="D150">
        <v>71</v>
      </c>
      <c r="E150">
        <v>484364</v>
      </c>
      <c r="F150">
        <v>3.55</v>
      </c>
      <c r="G150">
        <v>16149</v>
      </c>
      <c r="H150">
        <v>-14568</v>
      </c>
      <c r="J150" s="7" t="s">
        <v>93</v>
      </c>
      <c r="K150">
        <v>-17618</v>
      </c>
    </row>
    <row r="151" spans="1:11" x14ac:dyDescent="0.3">
      <c r="A151" t="s">
        <v>252</v>
      </c>
      <c r="B151" t="s">
        <v>23</v>
      </c>
      <c r="C151">
        <v>337</v>
      </c>
      <c r="D151">
        <v>68</v>
      </c>
      <c r="E151">
        <v>456298</v>
      </c>
      <c r="F151">
        <v>7.57</v>
      </c>
      <c r="G151">
        <v>4007</v>
      </c>
      <c r="H151">
        <v>-3670</v>
      </c>
      <c r="J151" s="7" t="s">
        <v>76</v>
      </c>
      <c r="K151">
        <v>-31278</v>
      </c>
    </row>
    <row r="152" spans="1:11" x14ac:dyDescent="0.3">
      <c r="A152" t="s">
        <v>351</v>
      </c>
      <c r="B152" t="s">
        <v>13</v>
      </c>
      <c r="C152">
        <v>1535</v>
      </c>
      <c r="D152">
        <v>445</v>
      </c>
      <c r="E152">
        <v>395536</v>
      </c>
      <c r="F152">
        <v>4.1100000000000003</v>
      </c>
      <c r="G152">
        <v>30671</v>
      </c>
      <c r="H152">
        <v>-29136</v>
      </c>
      <c r="J152" s="7" t="s">
        <v>72</v>
      </c>
      <c r="K152">
        <v>-15636</v>
      </c>
    </row>
    <row r="153" spans="1:11" x14ac:dyDescent="0.3">
      <c r="A153" t="s">
        <v>271</v>
      </c>
      <c r="B153" t="s">
        <v>13</v>
      </c>
      <c r="C153">
        <v>1197</v>
      </c>
      <c r="D153">
        <v>203</v>
      </c>
      <c r="E153">
        <v>413878</v>
      </c>
      <c r="F153">
        <v>3.16</v>
      </c>
      <c r="G153">
        <v>21205</v>
      </c>
      <c r="H153">
        <v>-20008</v>
      </c>
      <c r="J153" s="7" t="s">
        <v>56</v>
      </c>
      <c r="K153">
        <v>-37516</v>
      </c>
    </row>
    <row r="154" spans="1:11" x14ac:dyDescent="0.3">
      <c r="A154" t="s">
        <v>206</v>
      </c>
      <c r="B154" t="s">
        <v>13</v>
      </c>
      <c r="C154">
        <v>403</v>
      </c>
      <c r="D154">
        <v>66</v>
      </c>
      <c r="E154">
        <v>382851</v>
      </c>
      <c r="F154">
        <v>3.49</v>
      </c>
      <c r="G154">
        <v>24313</v>
      </c>
      <c r="H154">
        <v>-23910</v>
      </c>
      <c r="J154" s="7" t="s">
        <v>394</v>
      </c>
      <c r="K154">
        <v>-11396</v>
      </c>
    </row>
    <row r="155" spans="1:11" x14ac:dyDescent="0.3">
      <c r="A155" t="s">
        <v>122</v>
      </c>
      <c r="B155" t="s">
        <v>13</v>
      </c>
      <c r="C155">
        <v>308</v>
      </c>
      <c r="D155">
        <v>431</v>
      </c>
      <c r="E155">
        <v>426184</v>
      </c>
      <c r="F155">
        <v>2.62</v>
      </c>
      <c r="G155">
        <v>1783</v>
      </c>
      <c r="H155">
        <v>-1475</v>
      </c>
      <c r="J155" s="7" t="s">
        <v>399</v>
      </c>
      <c r="K155">
        <v>-7332</v>
      </c>
    </row>
    <row r="156" spans="1:11" x14ac:dyDescent="0.3">
      <c r="A156" t="s">
        <v>376</v>
      </c>
      <c r="B156" t="s">
        <v>13</v>
      </c>
      <c r="C156">
        <v>144</v>
      </c>
      <c r="D156">
        <v>53</v>
      </c>
      <c r="E156">
        <v>113678</v>
      </c>
      <c r="F156">
        <v>8.7200000000000006</v>
      </c>
      <c r="G156">
        <v>30060</v>
      </c>
      <c r="H156">
        <v>-29916</v>
      </c>
      <c r="J156" s="7" t="s">
        <v>405</v>
      </c>
      <c r="K156">
        <v>-9859</v>
      </c>
    </row>
    <row r="157" spans="1:11" x14ac:dyDescent="0.3">
      <c r="A157" t="s">
        <v>390</v>
      </c>
      <c r="B157" t="s">
        <v>13</v>
      </c>
      <c r="C157">
        <v>883</v>
      </c>
      <c r="D157">
        <v>369</v>
      </c>
      <c r="E157">
        <v>233694</v>
      </c>
      <c r="F157">
        <v>2.88</v>
      </c>
      <c r="G157">
        <v>15071</v>
      </c>
      <c r="H157">
        <v>-14188</v>
      </c>
      <c r="J157" s="6" t="s">
        <v>13</v>
      </c>
      <c r="K157">
        <v>-23623.52</v>
      </c>
    </row>
    <row r="158" spans="1:11" x14ac:dyDescent="0.3">
      <c r="A158" t="s">
        <v>222</v>
      </c>
      <c r="B158" t="s">
        <v>13</v>
      </c>
      <c r="C158">
        <v>224</v>
      </c>
      <c r="D158">
        <v>64</v>
      </c>
      <c r="E158">
        <v>156683</v>
      </c>
      <c r="F158">
        <v>4.5599999999999996</v>
      </c>
      <c r="G158">
        <v>28474</v>
      </c>
      <c r="H158">
        <v>-28250</v>
      </c>
      <c r="J158" s="7" t="s">
        <v>376</v>
      </c>
      <c r="K158">
        <v>-29916</v>
      </c>
    </row>
    <row r="159" spans="1:11" x14ac:dyDescent="0.3">
      <c r="A159" t="s">
        <v>391</v>
      </c>
      <c r="B159" t="s">
        <v>13</v>
      </c>
      <c r="C159">
        <v>804</v>
      </c>
      <c r="D159">
        <v>487</v>
      </c>
      <c r="E159">
        <v>306564</v>
      </c>
      <c r="F159">
        <v>5.52</v>
      </c>
      <c r="G159">
        <v>26452</v>
      </c>
      <c r="H159">
        <v>-25648</v>
      </c>
      <c r="J159" s="7" t="s">
        <v>363</v>
      </c>
      <c r="K159">
        <v>-11918</v>
      </c>
    </row>
    <row r="160" spans="1:11" x14ac:dyDescent="0.3">
      <c r="A160" t="s">
        <v>56</v>
      </c>
      <c r="B160" t="s">
        <v>13</v>
      </c>
      <c r="C160">
        <v>576</v>
      </c>
      <c r="D160">
        <v>101</v>
      </c>
      <c r="E160">
        <v>62499</v>
      </c>
      <c r="F160">
        <v>3.48</v>
      </c>
      <c r="G160">
        <v>16804</v>
      </c>
      <c r="H160">
        <v>-16228</v>
      </c>
      <c r="J160" s="7" t="s">
        <v>398</v>
      </c>
      <c r="K160">
        <v>-40436</v>
      </c>
    </row>
    <row r="161" spans="1:11" x14ac:dyDescent="0.3">
      <c r="A161" t="s">
        <v>325</v>
      </c>
      <c r="B161" t="s">
        <v>13</v>
      </c>
      <c r="C161">
        <v>460</v>
      </c>
      <c r="D161">
        <v>141</v>
      </c>
      <c r="E161">
        <v>320650</v>
      </c>
      <c r="F161">
        <v>4.04</v>
      </c>
      <c r="G161">
        <v>49372</v>
      </c>
      <c r="H161">
        <v>-48912</v>
      </c>
      <c r="J161" s="7" t="s">
        <v>402</v>
      </c>
      <c r="K161">
        <v>-17849</v>
      </c>
    </row>
    <row r="162" spans="1:11" x14ac:dyDescent="0.3">
      <c r="A162" t="s">
        <v>248</v>
      </c>
      <c r="B162" t="s">
        <v>13</v>
      </c>
      <c r="C162">
        <v>1210</v>
      </c>
      <c r="D162">
        <v>178</v>
      </c>
      <c r="E162">
        <v>102042</v>
      </c>
      <c r="F162">
        <v>5.42</v>
      </c>
      <c r="G162">
        <v>6915</v>
      </c>
      <c r="H162">
        <v>-5705</v>
      </c>
      <c r="J162" s="7" t="s">
        <v>355</v>
      </c>
      <c r="K162">
        <v>-30477</v>
      </c>
    </row>
    <row r="163" spans="1:11" x14ac:dyDescent="0.3">
      <c r="A163" t="s">
        <v>178</v>
      </c>
      <c r="B163" t="s">
        <v>13</v>
      </c>
      <c r="C163">
        <v>221</v>
      </c>
      <c r="D163">
        <v>31</v>
      </c>
      <c r="E163">
        <v>87443</v>
      </c>
      <c r="F163">
        <v>6.19</v>
      </c>
      <c r="G163">
        <v>10283</v>
      </c>
      <c r="H163">
        <v>-10062</v>
      </c>
      <c r="J163" s="7" t="s">
        <v>351</v>
      </c>
      <c r="K163">
        <v>-29136</v>
      </c>
    </row>
    <row r="164" spans="1:11" x14ac:dyDescent="0.3">
      <c r="A164" t="s">
        <v>97</v>
      </c>
      <c r="B164" t="s">
        <v>13</v>
      </c>
      <c r="C164">
        <v>422</v>
      </c>
      <c r="D164">
        <v>394</v>
      </c>
      <c r="E164">
        <v>239044</v>
      </c>
      <c r="F164">
        <v>7.83</v>
      </c>
      <c r="G164">
        <v>32929</v>
      </c>
      <c r="H164">
        <v>-32507</v>
      </c>
      <c r="J164" s="7" t="s">
        <v>333</v>
      </c>
      <c r="K164">
        <v>-14936</v>
      </c>
    </row>
    <row r="165" spans="1:11" x14ac:dyDescent="0.3">
      <c r="A165" t="s">
        <v>363</v>
      </c>
      <c r="B165" t="s">
        <v>13</v>
      </c>
      <c r="C165">
        <v>728</v>
      </c>
      <c r="D165">
        <v>395</v>
      </c>
      <c r="E165">
        <v>370971</v>
      </c>
      <c r="F165">
        <v>3.86</v>
      </c>
      <c r="G165">
        <v>12646</v>
      </c>
      <c r="H165">
        <v>-11918</v>
      </c>
      <c r="J165" s="7" t="s">
        <v>329</v>
      </c>
      <c r="K165">
        <v>-6506</v>
      </c>
    </row>
    <row r="166" spans="1:11" x14ac:dyDescent="0.3">
      <c r="A166" t="s">
        <v>285</v>
      </c>
      <c r="B166" t="s">
        <v>13</v>
      </c>
      <c r="C166">
        <v>1409</v>
      </c>
      <c r="D166">
        <v>309</v>
      </c>
      <c r="E166">
        <v>64583</v>
      </c>
      <c r="F166">
        <v>8.99</v>
      </c>
      <c r="G166">
        <v>10217</v>
      </c>
      <c r="H166">
        <v>-8808</v>
      </c>
      <c r="J166" s="7" t="s">
        <v>325</v>
      </c>
      <c r="K166">
        <v>-48912</v>
      </c>
    </row>
    <row r="167" spans="1:11" x14ac:dyDescent="0.3">
      <c r="A167" t="s">
        <v>392</v>
      </c>
      <c r="B167" t="s">
        <v>13</v>
      </c>
      <c r="C167">
        <v>123</v>
      </c>
      <c r="D167">
        <v>155</v>
      </c>
      <c r="E167">
        <v>119934</v>
      </c>
      <c r="F167">
        <v>3.5</v>
      </c>
      <c r="G167">
        <v>5442</v>
      </c>
      <c r="H167">
        <v>-5319</v>
      </c>
      <c r="J167" s="7" t="s">
        <v>319</v>
      </c>
      <c r="K167">
        <v>-14154</v>
      </c>
    </row>
    <row r="168" spans="1:11" x14ac:dyDescent="0.3">
      <c r="A168" t="s">
        <v>393</v>
      </c>
      <c r="B168" t="s">
        <v>13</v>
      </c>
      <c r="C168">
        <v>1218</v>
      </c>
      <c r="D168">
        <v>212</v>
      </c>
      <c r="E168">
        <v>63177</v>
      </c>
      <c r="F168">
        <v>8.1300000000000008</v>
      </c>
      <c r="G168">
        <v>38883</v>
      </c>
      <c r="H168">
        <v>-37665</v>
      </c>
      <c r="J168" s="7" t="s">
        <v>304</v>
      </c>
      <c r="K168">
        <v>-39300</v>
      </c>
    </row>
    <row r="169" spans="1:11" x14ac:dyDescent="0.3">
      <c r="A169" t="s">
        <v>394</v>
      </c>
      <c r="B169" t="s">
        <v>13</v>
      </c>
      <c r="C169">
        <v>1918</v>
      </c>
      <c r="D169">
        <v>212</v>
      </c>
      <c r="E169">
        <v>94360</v>
      </c>
      <c r="F169">
        <v>7.36</v>
      </c>
      <c r="G169">
        <v>36851</v>
      </c>
      <c r="H169">
        <v>-34933</v>
      </c>
      <c r="J169" s="7" t="s">
        <v>395</v>
      </c>
      <c r="K169">
        <v>-27515</v>
      </c>
    </row>
    <row r="170" spans="1:11" x14ac:dyDescent="0.3">
      <c r="A170" t="s">
        <v>395</v>
      </c>
      <c r="B170" t="s">
        <v>13</v>
      </c>
      <c r="C170">
        <v>307</v>
      </c>
      <c r="D170">
        <v>189</v>
      </c>
      <c r="E170">
        <v>117767</v>
      </c>
      <c r="F170">
        <v>9.3000000000000007</v>
      </c>
      <c r="G170">
        <v>27822</v>
      </c>
      <c r="H170">
        <v>-27515</v>
      </c>
      <c r="J170" s="7" t="s">
        <v>390</v>
      </c>
      <c r="K170">
        <v>-14188</v>
      </c>
    </row>
    <row r="171" spans="1:11" x14ac:dyDescent="0.3">
      <c r="A171" t="s">
        <v>396</v>
      </c>
      <c r="B171" t="s">
        <v>13</v>
      </c>
      <c r="C171">
        <v>414</v>
      </c>
      <c r="D171">
        <v>47</v>
      </c>
      <c r="E171">
        <v>199178</v>
      </c>
      <c r="F171">
        <v>1.53</v>
      </c>
      <c r="G171">
        <v>6742</v>
      </c>
      <c r="H171">
        <v>-6328</v>
      </c>
      <c r="J171" s="7" t="s">
        <v>285</v>
      </c>
      <c r="K171">
        <v>-8808</v>
      </c>
    </row>
    <row r="172" spans="1:11" x14ac:dyDescent="0.3">
      <c r="A172" t="s">
        <v>159</v>
      </c>
      <c r="B172" t="s">
        <v>13</v>
      </c>
      <c r="C172">
        <v>1707</v>
      </c>
      <c r="D172">
        <v>223</v>
      </c>
      <c r="E172">
        <v>256910</v>
      </c>
      <c r="F172">
        <v>5.41</v>
      </c>
      <c r="G172">
        <v>44321</v>
      </c>
      <c r="H172">
        <v>-42614</v>
      </c>
      <c r="J172" s="7" t="s">
        <v>281</v>
      </c>
      <c r="K172">
        <v>-45889</v>
      </c>
    </row>
    <row r="173" spans="1:11" x14ac:dyDescent="0.3">
      <c r="A173" t="s">
        <v>72</v>
      </c>
      <c r="B173" t="s">
        <v>13</v>
      </c>
      <c r="C173">
        <v>1814</v>
      </c>
      <c r="D173">
        <v>157</v>
      </c>
      <c r="E173">
        <v>305827</v>
      </c>
      <c r="F173">
        <v>1.99</v>
      </c>
      <c r="G173">
        <v>46643</v>
      </c>
      <c r="H173">
        <v>-44829</v>
      </c>
      <c r="J173" s="7" t="s">
        <v>275</v>
      </c>
      <c r="K173">
        <v>-22787</v>
      </c>
    </row>
    <row r="174" spans="1:11" x14ac:dyDescent="0.3">
      <c r="A174" t="s">
        <v>333</v>
      </c>
      <c r="B174" t="s">
        <v>13</v>
      </c>
      <c r="C174">
        <v>1507</v>
      </c>
      <c r="D174">
        <v>463</v>
      </c>
      <c r="E174">
        <v>258944</v>
      </c>
      <c r="F174">
        <v>6.08</v>
      </c>
      <c r="G174">
        <v>16443</v>
      </c>
      <c r="H174">
        <v>-14936</v>
      </c>
      <c r="J174" s="7" t="s">
        <v>403</v>
      </c>
      <c r="K174">
        <v>-9725</v>
      </c>
    </row>
    <row r="175" spans="1:11" x14ac:dyDescent="0.3">
      <c r="A175" t="s">
        <v>397</v>
      </c>
      <c r="B175" t="s">
        <v>13</v>
      </c>
      <c r="C175">
        <v>454</v>
      </c>
      <c r="D175">
        <v>105</v>
      </c>
      <c r="E175">
        <v>121091</v>
      </c>
      <c r="F175">
        <v>7.97</v>
      </c>
      <c r="G175">
        <v>9269</v>
      </c>
      <c r="H175">
        <v>-8815</v>
      </c>
      <c r="J175" s="7" t="s">
        <v>271</v>
      </c>
      <c r="K175">
        <v>-20008</v>
      </c>
    </row>
    <row r="176" spans="1:11" x14ac:dyDescent="0.3">
      <c r="A176" t="s">
        <v>188</v>
      </c>
      <c r="B176" t="s">
        <v>13</v>
      </c>
      <c r="C176">
        <v>278</v>
      </c>
      <c r="D176">
        <v>218</v>
      </c>
      <c r="E176">
        <v>301695</v>
      </c>
      <c r="F176">
        <v>4.68</v>
      </c>
      <c r="G176">
        <v>22373</v>
      </c>
      <c r="H176">
        <v>-22095</v>
      </c>
      <c r="J176" s="7" t="s">
        <v>397</v>
      </c>
      <c r="K176">
        <v>-8815</v>
      </c>
    </row>
    <row r="177" spans="1:11" x14ac:dyDescent="0.3">
      <c r="A177" t="s">
        <v>105</v>
      </c>
      <c r="B177" t="s">
        <v>13</v>
      </c>
      <c r="C177">
        <v>1293</v>
      </c>
      <c r="D177">
        <v>408</v>
      </c>
      <c r="E177">
        <v>62535</v>
      </c>
      <c r="F177">
        <v>8.9</v>
      </c>
      <c r="G177">
        <v>37876</v>
      </c>
      <c r="H177">
        <v>-36583</v>
      </c>
      <c r="J177" s="7" t="s">
        <v>252</v>
      </c>
      <c r="K177">
        <v>-12055</v>
      </c>
    </row>
    <row r="178" spans="1:11" x14ac:dyDescent="0.3">
      <c r="A178" t="s">
        <v>398</v>
      </c>
      <c r="B178" t="s">
        <v>13</v>
      </c>
      <c r="C178">
        <v>452</v>
      </c>
      <c r="D178">
        <v>161</v>
      </c>
      <c r="E178">
        <v>221274</v>
      </c>
      <c r="F178">
        <v>2.65</v>
      </c>
      <c r="G178">
        <v>40888</v>
      </c>
      <c r="H178">
        <v>-40436</v>
      </c>
      <c r="J178" s="7" t="s">
        <v>248</v>
      </c>
      <c r="K178">
        <v>-5705</v>
      </c>
    </row>
    <row r="179" spans="1:11" x14ac:dyDescent="0.3">
      <c r="A179" t="s">
        <v>281</v>
      </c>
      <c r="B179" t="s">
        <v>13</v>
      </c>
      <c r="C179">
        <v>736</v>
      </c>
      <c r="D179">
        <v>163</v>
      </c>
      <c r="E179">
        <v>451894</v>
      </c>
      <c r="F179">
        <v>5.43</v>
      </c>
      <c r="G179">
        <v>46625</v>
      </c>
      <c r="H179">
        <v>-45889</v>
      </c>
      <c r="J179" s="7" t="s">
        <v>400</v>
      </c>
      <c r="K179">
        <v>-39537</v>
      </c>
    </row>
    <row r="180" spans="1:11" x14ac:dyDescent="0.3">
      <c r="A180" t="s">
        <v>213</v>
      </c>
      <c r="B180" t="s">
        <v>13</v>
      </c>
      <c r="C180">
        <v>1004</v>
      </c>
      <c r="D180">
        <v>128</v>
      </c>
      <c r="E180">
        <v>488901</v>
      </c>
      <c r="F180">
        <v>8.09</v>
      </c>
      <c r="G180">
        <v>49558</v>
      </c>
      <c r="H180">
        <v>-48554</v>
      </c>
      <c r="J180" s="7" t="s">
        <v>406</v>
      </c>
      <c r="K180">
        <v>-20213</v>
      </c>
    </row>
    <row r="181" spans="1:11" x14ac:dyDescent="0.3">
      <c r="A181" t="s">
        <v>135</v>
      </c>
      <c r="B181" t="s">
        <v>13</v>
      </c>
      <c r="C181">
        <v>1900</v>
      </c>
      <c r="D181">
        <v>311</v>
      </c>
      <c r="E181">
        <v>25177</v>
      </c>
      <c r="F181">
        <v>2.89</v>
      </c>
      <c r="G181">
        <v>14154</v>
      </c>
      <c r="H181">
        <v>-12254</v>
      </c>
      <c r="J181" s="7" t="s">
        <v>396</v>
      </c>
      <c r="K181">
        <v>-6328</v>
      </c>
    </row>
    <row r="182" spans="1:11" x14ac:dyDescent="0.3">
      <c r="A182" t="s">
        <v>399</v>
      </c>
      <c r="B182" t="s">
        <v>13</v>
      </c>
      <c r="C182">
        <v>1495</v>
      </c>
      <c r="D182">
        <v>35</v>
      </c>
      <c r="E182">
        <v>136845</v>
      </c>
      <c r="F182">
        <v>4.4800000000000004</v>
      </c>
      <c r="G182">
        <v>39931</v>
      </c>
      <c r="H182">
        <v>-38436</v>
      </c>
      <c r="J182" s="7" t="s">
        <v>222</v>
      </c>
      <c r="K182">
        <v>-28250</v>
      </c>
    </row>
    <row r="183" spans="1:11" x14ac:dyDescent="0.3">
      <c r="A183" t="s">
        <v>319</v>
      </c>
      <c r="B183" t="s">
        <v>13</v>
      </c>
      <c r="C183">
        <v>891</v>
      </c>
      <c r="D183">
        <v>45</v>
      </c>
      <c r="E183">
        <v>95410</v>
      </c>
      <c r="F183">
        <v>8.33</v>
      </c>
      <c r="G183">
        <v>15045</v>
      </c>
      <c r="H183">
        <v>-14154</v>
      </c>
      <c r="J183" s="7" t="s">
        <v>392</v>
      </c>
      <c r="K183">
        <v>-5319</v>
      </c>
    </row>
    <row r="184" spans="1:11" x14ac:dyDescent="0.3">
      <c r="A184" t="s">
        <v>400</v>
      </c>
      <c r="B184" t="s">
        <v>13</v>
      </c>
      <c r="C184">
        <v>1331</v>
      </c>
      <c r="D184">
        <v>430</v>
      </c>
      <c r="E184">
        <v>14437</v>
      </c>
      <c r="F184">
        <v>3.29</v>
      </c>
      <c r="G184">
        <v>40868</v>
      </c>
      <c r="H184">
        <v>-39537</v>
      </c>
      <c r="J184" s="7" t="s">
        <v>213</v>
      </c>
      <c r="K184">
        <v>-48554</v>
      </c>
    </row>
    <row r="185" spans="1:11" x14ac:dyDescent="0.3">
      <c r="A185" t="s">
        <v>401</v>
      </c>
      <c r="B185" t="s">
        <v>13</v>
      </c>
      <c r="C185">
        <v>1166</v>
      </c>
      <c r="D185">
        <v>442</v>
      </c>
      <c r="E185">
        <v>336949</v>
      </c>
      <c r="F185">
        <v>4.68</v>
      </c>
      <c r="G185">
        <v>7705</v>
      </c>
      <c r="H185">
        <v>-6539</v>
      </c>
      <c r="J185" s="7" t="s">
        <v>210</v>
      </c>
      <c r="K185">
        <v>-21334</v>
      </c>
    </row>
    <row r="186" spans="1:11" x14ac:dyDescent="0.3">
      <c r="A186" t="s">
        <v>93</v>
      </c>
      <c r="B186" t="s">
        <v>13</v>
      </c>
      <c r="C186">
        <v>1411</v>
      </c>
      <c r="D186">
        <v>186</v>
      </c>
      <c r="E186">
        <v>461669</v>
      </c>
      <c r="F186">
        <v>3.72</v>
      </c>
      <c r="G186">
        <v>43999</v>
      </c>
      <c r="H186">
        <v>-42588</v>
      </c>
      <c r="J186" s="7" t="s">
        <v>404</v>
      </c>
      <c r="K186">
        <v>-34205</v>
      </c>
    </row>
    <row r="187" spans="1:11" x14ac:dyDescent="0.3">
      <c r="A187" t="s">
        <v>402</v>
      </c>
      <c r="B187" t="s">
        <v>13</v>
      </c>
      <c r="C187">
        <v>152</v>
      </c>
      <c r="D187">
        <v>355</v>
      </c>
      <c r="E187">
        <v>270766</v>
      </c>
      <c r="F187">
        <v>9.48</v>
      </c>
      <c r="G187">
        <v>18001</v>
      </c>
      <c r="H187">
        <v>-17849</v>
      </c>
      <c r="J187" s="7" t="s">
        <v>206</v>
      </c>
      <c r="K187">
        <v>-23910</v>
      </c>
    </row>
    <row r="188" spans="1:11" x14ac:dyDescent="0.3">
      <c r="A188" t="s">
        <v>275</v>
      </c>
      <c r="B188" t="s">
        <v>13</v>
      </c>
      <c r="C188">
        <v>1707</v>
      </c>
      <c r="D188">
        <v>263</v>
      </c>
      <c r="E188">
        <v>485280</v>
      </c>
      <c r="F188">
        <v>9.0299999999999994</v>
      </c>
      <c r="G188">
        <v>24494</v>
      </c>
      <c r="H188">
        <v>-22787</v>
      </c>
      <c r="J188" s="7" t="s">
        <v>188</v>
      </c>
      <c r="K188">
        <v>-22095</v>
      </c>
    </row>
    <row r="189" spans="1:11" x14ac:dyDescent="0.3">
      <c r="A189" t="s">
        <v>210</v>
      </c>
      <c r="B189" t="s">
        <v>13</v>
      </c>
      <c r="C189">
        <v>1662</v>
      </c>
      <c r="D189">
        <v>487</v>
      </c>
      <c r="E189">
        <v>105980</v>
      </c>
      <c r="F189">
        <v>9.08</v>
      </c>
      <c r="G189">
        <v>22996</v>
      </c>
      <c r="H189">
        <v>-21334</v>
      </c>
      <c r="J189" s="7" t="s">
        <v>178</v>
      </c>
      <c r="K189">
        <v>-10062</v>
      </c>
    </row>
    <row r="190" spans="1:11" x14ac:dyDescent="0.3">
      <c r="A190" t="s">
        <v>131</v>
      </c>
      <c r="B190" t="s">
        <v>13</v>
      </c>
      <c r="C190">
        <v>1063</v>
      </c>
      <c r="D190">
        <v>47</v>
      </c>
      <c r="E190">
        <v>464239</v>
      </c>
      <c r="F190">
        <v>6.58</v>
      </c>
      <c r="G190">
        <v>39031</v>
      </c>
      <c r="H190">
        <v>-37968</v>
      </c>
      <c r="J190" s="7" t="s">
        <v>401</v>
      </c>
      <c r="K190">
        <v>-6539</v>
      </c>
    </row>
    <row r="191" spans="1:11" x14ac:dyDescent="0.3">
      <c r="A191" t="s">
        <v>355</v>
      </c>
      <c r="B191" t="s">
        <v>13</v>
      </c>
      <c r="C191">
        <v>510</v>
      </c>
      <c r="D191">
        <v>195</v>
      </c>
      <c r="E191">
        <v>224534</v>
      </c>
      <c r="F191">
        <v>9.4</v>
      </c>
      <c r="G191">
        <v>30987</v>
      </c>
      <c r="H191">
        <v>-30477</v>
      </c>
      <c r="J191" s="7" t="s">
        <v>407</v>
      </c>
      <c r="K191">
        <v>-12383</v>
      </c>
    </row>
    <row r="192" spans="1:11" x14ac:dyDescent="0.3">
      <c r="A192" t="s">
        <v>403</v>
      </c>
      <c r="B192" t="s">
        <v>13</v>
      </c>
      <c r="C192">
        <v>1658</v>
      </c>
      <c r="D192">
        <v>416</v>
      </c>
      <c r="E192">
        <v>98397</v>
      </c>
      <c r="F192">
        <v>6.11</v>
      </c>
      <c r="G192">
        <v>11383</v>
      </c>
      <c r="H192">
        <v>-9725</v>
      </c>
      <c r="J192" s="7" t="s">
        <v>159</v>
      </c>
      <c r="K192">
        <v>-42614</v>
      </c>
    </row>
    <row r="193" spans="1:11" x14ac:dyDescent="0.3">
      <c r="A193" t="s">
        <v>404</v>
      </c>
      <c r="B193" t="s">
        <v>13</v>
      </c>
      <c r="C193">
        <v>1596</v>
      </c>
      <c r="D193">
        <v>211</v>
      </c>
      <c r="E193">
        <v>17380</v>
      </c>
      <c r="F193">
        <v>8.64</v>
      </c>
      <c r="G193">
        <v>35801</v>
      </c>
      <c r="H193">
        <v>-34205</v>
      </c>
      <c r="J193" s="7" t="s">
        <v>391</v>
      </c>
      <c r="K193">
        <v>-25648</v>
      </c>
    </row>
    <row r="194" spans="1:11" x14ac:dyDescent="0.3">
      <c r="A194" t="s">
        <v>128</v>
      </c>
      <c r="B194" t="s">
        <v>13</v>
      </c>
      <c r="C194">
        <v>442</v>
      </c>
      <c r="D194">
        <v>53</v>
      </c>
      <c r="E194">
        <v>441931</v>
      </c>
      <c r="F194">
        <v>1.87</v>
      </c>
      <c r="G194">
        <v>20059</v>
      </c>
      <c r="H194">
        <v>-19617</v>
      </c>
      <c r="J194" s="7" t="s">
        <v>393</v>
      </c>
      <c r="K194">
        <v>-37665</v>
      </c>
    </row>
    <row r="195" spans="1:11" x14ac:dyDescent="0.3">
      <c r="A195" t="s">
        <v>405</v>
      </c>
      <c r="B195" t="s">
        <v>13</v>
      </c>
      <c r="C195">
        <v>1957</v>
      </c>
      <c r="D195">
        <v>490</v>
      </c>
      <c r="E195">
        <v>435726</v>
      </c>
      <c r="F195">
        <v>4.7300000000000004</v>
      </c>
      <c r="G195">
        <v>15969</v>
      </c>
      <c r="H195">
        <v>-14012</v>
      </c>
      <c r="J195" s="7" t="s">
        <v>135</v>
      </c>
      <c r="K195">
        <v>-12254</v>
      </c>
    </row>
    <row r="196" spans="1:11" x14ac:dyDescent="0.3">
      <c r="A196" t="s">
        <v>304</v>
      </c>
      <c r="B196" t="s">
        <v>13</v>
      </c>
      <c r="C196">
        <v>623</v>
      </c>
      <c r="D196">
        <v>414</v>
      </c>
      <c r="E196">
        <v>290354</v>
      </c>
      <c r="F196">
        <v>6.49</v>
      </c>
      <c r="G196">
        <v>39923</v>
      </c>
      <c r="H196">
        <v>-39300</v>
      </c>
      <c r="J196" s="7" t="s">
        <v>131</v>
      </c>
      <c r="K196">
        <v>-37968</v>
      </c>
    </row>
    <row r="197" spans="1:11" x14ac:dyDescent="0.3">
      <c r="A197" t="s">
        <v>406</v>
      </c>
      <c r="B197" t="s">
        <v>13</v>
      </c>
      <c r="C197">
        <v>520</v>
      </c>
      <c r="D197">
        <v>375</v>
      </c>
      <c r="E197">
        <v>369525</v>
      </c>
      <c r="F197">
        <v>6.54</v>
      </c>
      <c r="G197">
        <v>20733</v>
      </c>
      <c r="H197">
        <v>-20213</v>
      </c>
      <c r="J197" s="7" t="s">
        <v>128</v>
      </c>
      <c r="K197">
        <v>-19617</v>
      </c>
    </row>
    <row r="198" spans="1:11" x14ac:dyDescent="0.3">
      <c r="A198" t="s">
        <v>407</v>
      </c>
      <c r="B198" t="s">
        <v>13</v>
      </c>
      <c r="C198">
        <v>1707</v>
      </c>
      <c r="D198">
        <v>74</v>
      </c>
      <c r="E198">
        <v>270958</v>
      </c>
      <c r="F198">
        <v>3.09</v>
      </c>
      <c r="G198">
        <v>14090</v>
      </c>
      <c r="H198">
        <v>-12383</v>
      </c>
      <c r="J198" s="7" t="s">
        <v>122</v>
      </c>
      <c r="K198">
        <v>-1475</v>
      </c>
    </row>
    <row r="199" spans="1:11" x14ac:dyDescent="0.3">
      <c r="A199" t="s">
        <v>76</v>
      </c>
      <c r="B199" t="s">
        <v>13</v>
      </c>
      <c r="C199">
        <v>777</v>
      </c>
      <c r="D199">
        <v>140</v>
      </c>
      <c r="E199">
        <v>11435</v>
      </c>
      <c r="F199">
        <v>1.6</v>
      </c>
      <c r="G199">
        <v>6832</v>
      </c>
      <c r="H199">
        <v>-6055</v>
      </c>
      <c r="J199" s="7" t="s">
        <v>105</v>
      </c>
      <c r="K199">
        <v>-36583</v>
      </c>
    </row>
    <row r="200" spans="1:11" x14ac:dyDescent="0.3">
      <c r="A200" t="s">
        <v>329</v>
      </c>
      <c r="B200" t="s">
        <v>13</v>
      </c>
      <c r="C200">
        <v>1035</v>
      </c>
      <c r="D200">
        <v>171</v>
      </c>
      <c r="E200">
        <v>148477</v>
      </c>
      <c r="F200">
        <v>5.21</v>
      </c>
      <c r="G200">
        <v>7541</v>
      </c>
      <c r="H200">
        <v>-6506</v>
      </c>
      <c r="J200" s="7" t="s">
        <v>97</v>
      </c>
      <c r="K200">
        <v>-32507</v>
      </c>
    </row>
    <row r="201" spans="1:11" x14ac:dyDescent="0.3">
      <c r="A201" t="s">
        <v>252</v>
      </c>
      <c r="B201" t="s">
        <v>13</v>
      </c>
      <c r="C201">
        <v>119</v>
      </c>
      <c r="D201">
        <v>456</v>
      </c>
      <c r="E201">
        <v>82558</v>
      </c>
      <c r="F201">
        <v>6.81</v>
      </c>
      <c r="G201">
        <v>12174</v>
      </c>
      <c r="H201">
        <v>-12055</v>
      </c>
      <c r="J201" s="7" t="s">
        <v>93</v>
      </c>
      <c r="K201">
        <v>-42588</v>
      </c>
    </row>
    <row r="202" spans="1:11" x14ac:dyDescent="0.3">
      <c r="J202" s="7" t="s">
        <v>76</v>
      </c>
      <c r="K202">
        <v>-6055</v>
      </c>
    </row>
    <row r="203" spans="1:11" x14ac:dyDescent="0.3">
      <c r="J203" s="7" t="s">
        <v>72</v>
      </c>
      <c r="K203">
        <v>-44829</v>
      </c>
    </row>
    <row r="204" spans="1:11" x14ac:dyDescent="0.3">
      <c r="J204" s="7" t="s">
        <v>56</v>
      </c>
      <c r="K204">
        <v>-16228</v>
      </c>
    </row>
    <row r="205" spans="1:11" x14ac:dyDescent="0.3">
      <c r="J205" s="7" t="s">
        <v>394</v>
      </c>
      <c r="K205">
        <v>-34933</v>
      </c>
    </row>
    <row r="206" spans="1:11" x14ac:dyDescent="0.3">
      <c r="J206" s="7" t="s">
        <v>399</v>
      </c>
      <c r="K206">
        <v>-38436</v>
      </c>
    </row>
    <row r="207" spans="1:11" x14ac:dyDescent="0.3">
      <c r="J207" s="7" t="s">
        <v>405</v>
      </c>
      <c r="K207">
        <v>-14012</v>
      </c>
    </row>
    <row r="208" spans="1:11" x14ac:dyDescent="0.3">
      <c r="J208" s="6" t="s">
        <v>434</v>
      </c>
      <c r="K208">
        <v>-23113.94</v>
      </c>
    </row>
  </sheetData>
  <pageMargins left="0.7" right="0.7" top="0.75" bottom="0.75" header="0.3" footer="0.3"/>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512F9C-04D8-4B2B-9783-7420A104C9C9}">
  <dimension ref="A1:G5"/>
  <sheetViews>
    <sheetView workbookViewId="0">
      <selection sqref="A1:G5"/>
    </sheetView>
  </sheetViews>
  <sheetFormatPr defaultRowHeight="14.4" x14ac:dyDescent="0.3"/>
  <cols>
    <col min="1" max="1" width="17.77734375" bestFit="1" customWidth="1"/>
    <col min="2" max="2" width="12.109375" bestFit="1" customWidth="1"/>
    <col min="3" max="3" width="11.33203125" bestFit="1" customWidth="1"/>
    <col min="4" max="4" width="19.5546875" bestFit="1" customWidth="1"/>
    <col min="5" max="5" width="14.44140625" bestFit="1" customWidth="1"/>
    <col min="6" max="6" width="17.77734375" bestFit="1" customWidth="1"/>
    <col min="7" max="7" width="29" bestFit="1" customWidth="1"/>
  </cols>
  <sheetData>
    <row r="1" spans="1:7" x14ac:dyDescent="0.3">
      <c r="A1" t="s">
        <v>11</v>
      </c>
      <c r="B1" t="s">
        <v>408</v>
      </c>
      <c r="C1" t="s">
        <v>409</v>
      </c>
      <c r="D1" t="s">
        <v>410</v>
      </c>
      <c r="E1" t="s">
        <v>411</v>
      </c>
      <c r="F1" t="s">
        <v>412</v>
      </c>
      <c r="G1" t="s">
        <v>413</v>
      </c>
    </row>
    <row r="2" spans="1:7" x14ac:dyDescent="0.3">
      <c r="A2" t="s">
        <v>28</v>
      </c>
      <c r="B2" t="s">
        <v>414</v>
      </c>
      <c r="C2" t="s">
        <v>222</v>
      </c>
      <c r="D2" t="s">
        <v>415</v>
      </c>
      <c r="E2">
        <v>150000</v>
      </c>
      <c r="F2" t="s">
        <v>416</v>
      </c>
      <c r="G2" t="s">
        <v>417</v>
      </c>
    </row>
    <row r="3" spans="1:7" x14ac:dyDescent="0.3">
      <c r="A3" t="s">
        <v>16</v>
      </c>
      <c r="B3" t="s">
        <v>418</v>
      </c>
      <c r="C3" t="s">
        <v>19</v>
      </c>
      <c r="D3" t="s">
        <v>419</v>
      </c>
      <c r="E3">
        <v>200000</v>
      </c>
      <c r="F3" t="s">
        <v>420</v>
      </c>
      <c r="G3" t="s">
        <v>421</v>
      </c>
    </row>
    <row r="4" spans="1:7" x14ac:dyDescent="0.3">
      <c r="A4" t="s">
        <v>30</v>
      </c>
      <c r="B4" t="s">
        <v>422</v>
      </c>
      <c r="C4" t="s">
        <v>278</v>
      </c>
      <c r="D4" t="s">
        <v>423</v>
      </c>
      <c r="E4">
        <v>250000</v>
      </c>
      <c r="F4" t="s">
        <v>424</v>
      </c>
      <c r="G4" t="s">
        <v>425</v>
      </c>
    </row>
    <row r="5" spans="1:7" x14ac:dyDescent="0.3">
      <c r="A5" t="s">
        <v>34</v>
      </c>
      <c r="B5" t="s">
        <v>426</v>
      </c>
      <c r="C5" t="s">
        <v>405</v>
      </c>
      <c r="D5" t="s">
        <v>427</v>
      </c>
      <c r="E5">
        <v>180000</v>
      </c>
      <c r="F5" t="s">
        <v>428</v>
      </c>
      <c r="G5" t="s">
        <v>429</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53AC5E-8CC4-47CF-A9C0-05D1B37D07D8}">
  <sheetPr filterMode="1"/>
  <dimension ref="A1:AD340"/>
  <sheetViews>
    <sheetView topLeftCell="O19" zoomScale="95" zoomScaleNormal="95" workbookViewId="0">
      <selection activeCell="V40" sqref="V40"/>
    </sheetView>
  </sheetViews>
  <sheetFormatPr defaultRowHeight="14.4" x14ac:dyDescent="0.3"/>
  <cols>
    <col min="1" max="1" width="6.88671875" bestFit="1" customWidth="1"/>
    <col min="2" max="2" width="9.109375" bestFit="1" customWidth="1"/>
    <col min="3" max="3" width="10.6640625" bestFit="1" customWidth="1"/>
    <col min="4" max="4" width="12.33203125" bestFit="1" customWidth="1"/>
    <col min="5" max="5" width="38.5546875" bestFit="1" customWidth="1"/>
    <col min="6" max="6" width="5.109375" bestFit="1" customWidth="1"/>
    <col min="7" max="7" width="6.5546875" bestFit="1" customWidth="1"/>
    <col min="8" max="8" width="10.109375" bestFit="1" customWidth="1"/>
    <col min="9" max="9" width="11" bestFit="1" customWidth="1"/>
    <col min="10" max="10" width="6.109375" bestFit="1" customWidth="1"/>
    <col min="11" max="11" width="5.6640625" bestFit="1" customWidth="1"/>
    <col min="12" max="12" width="16" bestFit="1" customWidth="1"/>
    <col min="13" max="13" width="18.109375" bestFit="1" customWidth="1"/>
    <col min="14" max="14" width="23.44140625" bestFit="1" customWidth="1"/>
    <col min="15" max="15" width="23.44140625" customWidth="1"/>
    <col min="16" max="17" width="18.21875" bestFit="1" customWidth="1"/>
    <col min="18" max="18" width="34.77734375" bestFit="1" customWidth="1"/>
    <col min="19" max="19" width="23.44140625" bestFit="1" customWidth="1"/>
    <col min="20" max="20" width="0" hidden="1" customWidth="1"/>
    <col min="21" max="21" width="7.77734375" bestFit="1" customWidth="1"/>
    <col min="22" max="22" width="12.77734375" bestFit="1" customWidth="1"/>
    <col min="23" max="23" width="11.5546875" bestFit="1" customWidth="1"/>
    <col min="24" max="24" width="13.109375" bestFit="1" customWidth="1"/>
    <col min="25" max="25" width="16.6640625" bestFit="1" customWidth="1"/>
    <col min="26" max="26" width="7" hidden="1" customWidth="1"/>
    <col min="27" max="27" width="13.109375" bestFit="1" customWidth="1"/>
    <col min="28" max="28" width="9.44140625" bestFit="1" customWidth="1"/>
    <col min="29" max="29" width="7.109375" bestFit="1" customWidth="1"/>
    <col min="30" max="30" width="8.109375" bestFit="1" customWidth="1"/>
    <col min="31" max="31" width="16.6640625" bestFit="1" customWidth="1"/>
    <col min="32" max="32" width="9.44140625" bestFit="1" customWidth="1"/>
    <col min="33" max="33" width="7.109375" bestFit="1" customWidth="1"/>
    <col min="34" max="34" width="8.109375" bestFit="1" customWidth="1"/>
    <col min="35" max="35" width="16.33203125" bestFit="1" customWidth="1"/>
    <col min="36" max="36" width="17.88671875" bestFit="1" customWidth="1"/>
    <col min="37" max="37" width="21.5546875" bestFit="1" customWidth="1"/>
    <col min="38" max="40" width="6" bestFit="1" customWidth="1"/>
    <col min="41" max="41" width="16.33203125" bestFit="1" customWidth="1"/>
    <col min="42" max="42" width="17.88671875" bestFit="1" customWidth="1"/>
    <col min="43" max="43" width="21.5546875" bestFit="1" customWidth="1"/>
  </cols>
  <sheetData>
    <row r="1" spans="1:30" x14ac:dyDescent="0.3">
      <c r="A1" s="1" t="s">
        <v>0</v>
      </c>
      <c r="B1" s="1" t="s">
        <v>1</v>
      </c>
      <c r="C1" s="1" t="s">
        <v>2</v>
      </c>
      <c r="D1" s="1" t="s">
        <v>3</v>
      </c>
      <c r="E1" s="1" t="s">
        <v>4</v>
      </c>
      <c r="F1" s="1" t="s">
        <v>5</v>
      </c>
      <c r="G1" s="1" t="s">
        <v>6</v>
      </c>
      <c r="H1" s="1" t="s">
        <v>7</v>
      </c>
      <c r="I1" s="1" t="s">
        <v>8</v>
      </c>
      <c r="J1" s="1" t="s">
        <v>9</v>
      </c>
      <c r="K1" s="19" t="s">
        <v>10</v>
      </c>
      <c r="L1" s="19" t="s">
        <v>492</v>
      </c>
      <c r="M1" s="19" t="s">
        <v>11</v>
      </c>
      <c r="N1" s="1" t="s">
        <v>430</v>
      </c>
    </row>
    <row r="2" spans="1:30" x14ac:dyDescent="0.3">
      <c r="A2" t="s">
        <v>367</v>
      </c>
      <c r="B2" t="s">
        <v>38</v>
      </c>
      <c r="C2" s="24">
        <v>45445</v>
      </c>
      <c r="D2" t="s">
        <v>57</v>
      </c>
      <c r="E2" t="s">
        <v>504</v>
      </c>
      <c r="F2">
        <v>84</v>
      </c>
      <c r="G2">
        <v>897</v>
      </c>
      <c r="H2">
        <v>85</v>
      </c>
      <c r="I2">
        <v>588</v>
      </c>
      <c r="J2">
        <v>8</v>
      </c>
      <c r="K2">
        <v>12</v>
      </c>
      <c r="L2" t="s">
        <v>505</v>
      </c>
      <c r="N2">
        <f>SUM(F2:H2)/I2</f>
        <v>1.8129251700680271</v>
      </c>
    </row>
    <row r="3" spans="1:30" x14ac:dyDescent="0.3">
      <c r="A3" t="s">
        <v>225</v>
      </c>
      <c r="B3" t="s">
        <v>38</v>
      </c>
      <c r="C3" s="24">
        <v>45762</v>
      </c>
      <c r="D3" t="s">
        <v>53</v>
      </c>
      <c r="E3" t="s">
        <v>516</v>
      </c>
      <c r="F3">
        <v>103</v>
      </c>
      <c r="G3">
        <v>770</v>
      </c>
      <c r="H3">
        <v>19</v>
      </c>
      <c r="I3">
        <v>1030</v>
      </c>
      <c r="J3">
        <v>410</v>
      </c>
      <c r="K3">
        <v>262</v>
      </c>
      <c r="L3" t="s">
        <v>498</v>
      </c>
      <c r="M3" t="s">
        <v>506</v>
      </c>
      <c r="N3">
        <f>SUM(F3:H3)/I3</f>
        <v>0.86601941747572819</v>
      </c>
      <c r="P3" s="4" t="s">
        <v>443</v>
      </c>
      <c r="Q3" s="2" t="s">
        <v>1</v>
      </c>
      <c r="R3" s="2" t="s">
        <v>431</v>
      </c>
      <c r="V3" s="4" t="s">
        <v>445</v>
      </c>
      <c r="W3" t="s">
        <v>1880</v>
      </c>
      <c r="AC3" s="4" t="s">
        <v>446</v>
      </c>
      <c r="AD3" s="4" t="s">
        <v>447</v>
      </c>
    </row>
    <row r="4" spans="1:30" x14ac:dyDescent="0.3">
      <c r="A4" t="s">
        <v>63</v>
      </c>
      <c r="B4" t="s">
        <v>23</v>
      </c>
      <c r="C4" s="24">
        <v>45776</v>
      </c>
      <c r="D4" t="s">
        <v>57</v>
      </c>
      <c r="E4" t="s">
        <v>523</v>
      </c>
      <c r="F4">
        <v>249</v>
      </c>
      <c r="G4">
        <v>592</v>
      </c>
      <c r="H4">
        <v>230</v>
      </c>
      <c r="I4">
        <v>1494</v>
      </c>
      <c r="J4">
        <v>1044</v>
      </c>
      <c r="K4">
        <v>201</v>
      </c>
      <c r="L4" t="s">
        <v>505</v>
      </c>
      <c r="M4" t="s">
        <v>506</v>
      </c>
      <c r="N4">
        <f>SUM(F4:H4)/I4</f>
        <v>0.7168674698795181</v>
      </c>
      <c r="Q4" s="3" t="s">
        <v>23</v>
      </c>
      <c r="R4" s="3">
        <f>AVERAGEIF($B$1:$B$301,$Q4,N:N)</f>
        <v>0.14059786767690574</v>
      </c>
      <c r="AC4" t="s">
        <v>448</v>
      </c>
      <c r="AD4" t="s">
        <v>449</v>
      </c>
    </row>
    <row r="5" spans="1:30" x14ac:dyDescent="0.3">
      <c r="A5" t="s">
        <v>298</v>
      </c>
      <c r="B5" t="s">
        <v>38</v>
      </c>
      <c r="C5" s="24">
        <v>45603</v>
      </c>
      <c r="D5" t="s">
        <v>14</v>
      </c>
      <c r="E5" t="s">
        <v>517</v>
      </c>
      <c r="F5">
        <v>129</v>
      </c>
      <c r="G5">
        <v>643</v>
      </c>
      <c r="H5">
        <v>136</v>
      </c>
      <c r="I5">
        <v>1290</v>
      </c>
      <c r="J5">
        <v>839</v>
      </c>
      <c r="K5">
        <v>238</v>
      </c>
      <c r="L5" t="s">
        <v>498</v>
      </c>
      <c r="M5" t="s">
        <v>506</v>
      </c>
      <c r="N5">
        <f>SUM(F5:H5)/I5</f>
        <v>0.70387596899224802</v>
      </c>
      <c r="Q5" s="3" t="s">
        <v>18</v>
      </c>
      <c r="R5" s="3">
        <f>AVERAGEIF($B$1:$B$301,$Q5,N:N)</f>
        <v>0.1197184647983911</v>
      </c>
      <c r="V5" s="5" t="s">
        <v>433</v>
      </c>
      <c r="W5" t="s">
        <v>435</v>
      </c>
      <c r="X5" t="s">
        <v>436</v>
      </c>
      <c r="Y5" t="s">
        <v>437</v>
      </c>
    </row>
    <row r="6" spans="1:30" x14ac:dyDescent="0.3">
      <c r="A6" t="s">
        <v>211</v>
      </c>
      <c r="B6" t="s">
        <v>38</v>
      </c>
      <c r="C6" s="24">
        <v>45674</v>
      </c>
      <c r="D6" t="s">
        <v>53</v>
      </c>
      <c r="E6" t="s">
        <v>516</v>
      </c>
      <c r="F6">
        <v>142</v>
      </c>
      <c r="G6">
        <v>784</v>
      </c>
      <c r="H6">
        <v>183</v>
      </c>
      <c r="I6">
        <v>1704</v>
      </c>
      <c r="J6">
        <v>995</v>
      </c>
      <c r="K6">
        <v>154</v>
      </c>
      <c r="L6" t="s">
        <v>494</v>
      </c>
      <c r="M6" t="s">
        <v>506</v>
      </c>
      <c r="N6">
        <f>SUM(F6:H6)/I6</f>
        <v>0.6508215962441315</v>
      </c>
      <c r="Q6" s="3" t="s">
        <v>38</v>
      </c>
      <c r="R6" s="3">
        <f>AVERAGEIF($B$1:$B$301,$Q6,N:N)</f>
        <v>0.18634530719075362</v>
      </c>
      <c r="V6" s="6" t="s">
        <v>18</v>
      </c>
      <c r="W6">
        <v>242761</v>
      </c>
      <c r="X6">
        <v>39181</v>
      </c>
      <c r="Y6">
        <v>23300</v>
      </c>
    </row>
    <row r="7" spans="1:30" x14ac:dyDescent="0.3">
      <c r="A7" t="s">
        <v>146</v>
      </c>
      <c r="B7" t="s">
        <v>23</v>
      </c>
      <c r="C7" s="24">
        <v>45618</v>
      </c>
      <c r="D7" t="s">
        <v>20</v>
      </c>
      <c r="E7" t="s">
        <v>508</v>
      </c>
      <c r="F7">
        <v>53</v>
      </c>
      <c r="G7">
        <v>81</v>
      </c>
      <c r="H7">
        <v>379</v>
      </c>
      <c r="I7">
        <v>954</v>
      </c>
      <c r="J7">
        <v>7</v>
      </c>
      <c r="K7">
        <v>148</v>
      </c>
      <c r="L7" t="s">
        <v>498</v>
      </c>
      <c r="M7" t="s">
        <v>503</v>
      </c>
      <c r="N7">
        <f>SUM(F7:H7)/I7</f>
        <v>0.53773584905660377</v>
      </c>
      <c r="Q7" s="3" t="s">
        <v>13</v>
      </c>
      <c r="R7" s="3">
        <f>AVERAGEIF($B$1:$B$301,$Q7,N:N)</f>
        <v>0.14002608184753282</v>
      </c>
      <c r="V7" s="7" t="s">
        <v>20</v>
      </c>
      <c r="W7">
        <v>44476</v>
      </c>
      <c r="X7">
        <v>7400</v>
      </c>
      <c r="Y7">
        <v>4589</v>
      </c>
    </row>
    <row r="8" spans="1:30" x14ac:dyDescent="0.3">
      <c r="A8" t="s">
        <v>47</v>
      </c>
      <c r="B8" t="s">
        <v>23</v>
      </c>
      <c r="C8" s="24">
        <v>45687</v>
      </c>
      <c r="D8" t="s">
        <v>24</v>
      </c>
      <c r="E8" t="s">
        <v>521</v>
      </c>
      <c r="F8">
        <v>59</v>
      </c>
      <c r="G8">
        <v>163</v>
      </c>
      <c r="H8">
        <v>93</v>
      </c>
      <c r="I8">
        <v>590</v>
      </c>
      <c r="J8">
        <v>475</v>
      </c>
      <c r="K8">
        <v>293</v>
      </c>
      <c r="L8" t="s">
        <v>498</v>
      </c>
      <c r="M8" t="s">
        <v>499</v>
      </c>
      <c r="N8">
        <f>SUM(F8:H8)/I8</f>
        <v>0.53389830508474578</v>
      </c>
      <c r="V8" s="7" t="s">
        <v>24</v>
      </c>
      <c r="W8">
        <v>71602</v>
      </c>
      <c r="X8">
        <v>12904</v>
      </c>
      <c r="Y8">
        <v>6495</v>
      </c>
    </row>
    <row r="9" spans="1:30" x14ac:dyDescent="0.3">
      <c r="A9" t="s">
        <v>359</v>
      </c>
      <c r="B9" t="s">
        <v>501</v>
      </c>
      <c r="C9" s="24">
        <v>45567</v>
      </c>
      <c r="D9" t="s">
        <v>20</v>
      </c>
      <c r="E9" t="s">
        <v>513</v>
      </c>
      <c r="F9">
        <v>80</v>
      </c>
      <c r="G9">
        <v>362</v>
      </c>
      <c r="H9">
        <v>80</v>
      </c>
      <c r="I9">
        <v>1040</v>
      </c>
      <c r="J9">
        <v>349</v>
      </c>
      <c r="K9">
        <v>117</v>
      </c>
      <c r="L9" t="s">
        <v>498</v>
      </c>
      <c r="M9" t="s">
        <v>503</v>
      </c>
      <c r="N9">
        <f>SUM(F9:H9)/I9</f>
        <v>0.50192307692307692</v>
      </c>
      <c r="V9" s="7" t="s">
        <v>53</v>
      </c>
      <c r="W9">
        <v>36368</v>
      </c>
      <c r="X9">
        <v>5964</v>
      </c>
      <c r="Y9">
        <v>3353</v>
      </c>
    </row>
    <row r="10" spans="1:30" x14ac:dyDescent="0.3">
      <c r="A10" t="s">
        <v>185</v>
      </c>
      <c r="B10" t="s">
        <v>501</v>
      </c>
      <c r="C10" s="24">
        <v>45707</v>
      </c>
      <c r="D10" t="s">
        <v>24</v>
      </c>
      <c r="E10" t="s">
        <v>509</v>
      </c>
      <c r="F10">
        <v>257</v>
      </c>
      <c r="G10">
        <v>966</v>
      </c>
      <c r="H10">
        <v>398</v>
      </c>
      <c r="I10">
        <v>3341</v>
      </c>
      <c r="J10">
        <v>2753</v>
      </c>
      <c r="K10">
        <v>287</v>
      </c>
      <c r="L10" t="s">
        <v>494</v>
      </c>
      <c r="M10" t="s">
        <v>495</v>
      </c>
      <c r="N10">
        <f>SUM(F10:H10)/I10</f>
        <v>0.48518407662376534</v>
      </c>
      <c r="V10" s="7" t="s">
        <v>57</v>
      </c>
      <c r="W10">
        <v>29405</v>
      </c>
      <c r="X10">
        <v>4950</v>
      </c>
      <c r="Y10">
        <v>3223</v>
      </c>
    </row>
    <row r="11" spans="1:30" x14ac:dyDescent="0.3">
      <c r="A11" t="s">
        <v>369</v>
      </c>
      <c r="B11" t="s">
        <v>18</v>
      </c>
      <c r="C11" s="24">
        <v>45749</v>
      </c>
      <c r="D11" t="s">
        <v>14</v>
      </c>
      <c r="E11" t="s">
        <v>515</v>
      </c>
      <c r="F11">
        <v>199</v>
      </c>
      <c r="G11">
        <v>772</v>
      </c>
      <c r="H11">
        <v>400</v>
      </c>
      <c r="I11">
        <v>3582</v>
      </c>
      <c r="J11">
        <v>2988</v>
      </c>
      <c r="K11">
        <v>43</v>
      </c>
      <c r="L11" t="s">
        <v>498</v>
      </c>
      <c r="N11">
        <f>SUM(F11:H11)/I11</f>
        <v>0.38274706867671693</v>
      </c>
      <c r="P11" s="4" t="s">
        <v>444</v>
      </c>
      <c r="Q11" s="4" t="s">
        <v>432</v>
      </c>
      <c r="V11" s="7" t="s">
        <v>45</v>
      </c>
      <c r="W11">
        <v>31963</v>
      </c>
      <c r="X11">
        <v>4792</v>
      </c>
      <c r="Y11">
        <v>3377</v>
      </c>
    </row>
    <row r="12" spans="1:30" x14ac:dyDescent="0.3">
      <c r="A12" t="s">
        <v>134</v>
      </c>
      <c r="B12" t="s">
        <v>38</v>
      </c>
      <c r="C12" s="24">
        <v>45649</v>
      </c>
      <c r="D12" t="s">
        <v>24</v>
      </c>
      <c r="E12" t="s">
        <v>525</v>
      </c>
      <c r="F12">
        <v>521</v>
      </c>
      <c r="G12">
        <v>746</v>
      </c>
      <c r="H12">
        <v>315</v>
      </c>
      <c r="I12">
        <v>4168</v>
      </c>
      <c r="J12">
        <v>3399</v>
      </c>
      <c r="K12">
        <v>282</v>
      </c>
      <c r="L12" t="s">
        <v>494</v>
      </c>
      <c r="M12" t="s">
        <v>499</v>
      </c>
      <c r="N12">
        <f>SUM(F12:H12)/I12</f>
        <v>0.37955854126679461</v>
      </c>
      <c r="V12" s="7" t="s">
        <v>14</v>
      </c>
      <c r="W12">
        <v>28947</v>
      </c>
      <c r="X12">
        <v>3171</v>
      </c>
      <c r="Y12">
        <v>2263</v>
      </c>
    </row>
    <row r="13" spans="1:30" x14ac:dyDescent="0.3">
      <c r="A13" t="s">
        <v>132</v>
      </c>
      <c r="B13" t="s">
        <v>501</v>
      </c>
      <c r="C13" s="24">
        <v>45712</v>
      </c>
      <c r="D13" t="s">
        <v>20</v>
      </c>
      <c r="E13" t="s">
        <v>513</v>
      </c>
      <c r="F13">
        <v>804</v>
      </c>
      <c r="G13">
        <v>639</v>
      </c>
      <c r="H13">
        <v>43</v>
      </c>
      <c r="I13">
        <v>4020</v>
      </c>
      <c r="J13">
        <v>3144</v>
      </c>
      <c r="K13">
        <v>11</v>
      </c>
      <c r="L13" t="s">
        <v>505</v>
      </c>
      <c r="N13">
        <f>SUM(F13:H13)/I13</f>
        <v>0.36965174129353234</v>
      </c>
      <c r="Q13" s="2" t="s">
        <v>0</v>
      </c>
      <c r="R13" s="2" t="s">
        <v>1</v>
      </c>
      <c r="S13" s="2" t="s">
        <v>430</v>
      </c>
      <c r="V13" s="6" t="s">
        <v>38</v>
      </c>
      <c r="W13">
        <v>204284</v>
      </c>
      <c r="X13">
        <v>41444</v>
      </c>
      <c r="Y13">
        <v>17851</v>
      </c>
    </row>
    <row r="14" spans="1:30" x14ac:dyDescent="0.3">
      <c r="A14" t="s">
        <v>132</v>
      </c>
      <c r="B14" t="s">
        <v>501</v>
      </c>
      <c r="C14" s="24">
        <v>45712</v>
      </c>
      <c r="D14" t="s">
        <v>20</v>
      </c>
      <c r="E14" t="s">
        <v>513</v>
      </c>
      <c r="F14">
        <v>804</v>
      </c>
      <c r="G14">
        <v>639</v>
      </c>
      <c r="H14">
        <v>43</v>
      </c>
      <c r="I14">
        <v>4020</v>
      </c>
      <c r="J14">
        <v>3144</v>
      </c>
      <c r="K14">
        <v>11</v>
      </c>
      <c r="L14" t="s">
        <v>500</v>
      </c>
      <c r="N14">
        <f>SUM(F14:H14)/I14</f>
        <v>0.36965174129353234</v>
      </c>
      <c r="Q14" s="3" t="s">
        <v>367</v>
      </c>
      <c r="R14" s="3" t="s">
        <v>38</v>
      </c>
      <c r="S14" s="3">
        <v>1.8129251700680271</v>
      </c>
      <c r="V14" s="7" t="s">
        <v>20</v>
      </c>
      <c r="W14">
        <v>43948</v>
      </c>
      <c r="X14">
        <v>6975</v>
      </c>
      <c r="Y14">
        <v>3890</v>
      </c>
    </row>
    <row r="15" spans="1:30" x14ac:dyDescent="0.3">
      <c r="A15" t="s">
        <v>192</v>
      </c>
      <c r="B15" t="s">
        <v>23</v>
      </c>
      <c r="C15" s="24">
        <v>45553</v>
      </c>
      <c r="D15" t="s">
        <v>53</v>
      </c>
      <c r="E15" t="s">
        <v>493</v>
      </c>
      <c r="F15">
        <v>1000</v>
      </c>
      <c r="G15">
        <v>978</v>
      </c>
      <c r="H15">
        <v>162</v>
      </c>
      <c r="I15">
        <v>6000</v>
      </c>
      <c r="J15">
        <v>5221</v>
      </c>
      <c r="K15">
        <v>223</v>
      </c>
      <c r="L15" t="s">
        <v>505</v>
      </c>
      <c r="M15" t="s">
        <v>499</v>
      </c>
      <c r="N15">
        <f>SUM(F15:H15)/I15</f>
        <v>0.35666666666666669</v>
      </c>
      <c r="Q15" s="3" t="s">
        <v>225</v>
      </c>
      <c r="R15" s="3" t="s">
        <v>38</v>
      </c>
      <c r="S15" s="3">
        <v>0.86601941747572819</v>
      </c>
      <c r="V15" s="7" t="s">
        <v>24</v>
      </c>
      <c r="W15">
        <v>34202</v>
      </c>
      <c r="X15">
        <v>5286</v>
      </c>
      <c r="Y15">
        <v>2655</v>
      </c>
    </row>
    <row r="16" spans="1:30" x14ac:dyDescent="0.3">
      <c r="A16" t="s">
        <v>315</v>
      </c>
      <c r="B16" t="s">
        <v>501</v>
      </c>
      <c r="C16" s="24">
        <v>45753</v>
      </c>
      <c r="D16" t="s">
        <v>20</v>
      </c>
      <c r="E16" t="s">
        <v>513</v>
      </c>
      <c r="F16">
        <v>736</v>
      </c>
      <c r="G16">
        <v>771</v>
      </c>
      <c r="H16">
        <v>225</v>
      </c>
      <c r="I16">
        <v>5152</v>
      </c>
      <c r="J16">
        <v>4706</v>
      </c>
      <c r="K16">
        <v>19</v>
      </c>
      <c r="L16" t="s">
        <v>505</v>
      </c>
      <c r="M16" t="s">
        <v>495</v>
      </c>
      <c r="N16">
        <f>SUM(F16:H16)/I16</f>
        <v>0.33618012422360249</v>
      </c>
      <c r="Q16" s="3" t="s">
        <v>63</v>
      </c>
      <c r="R16" s="3" t="s">
        <v>23</v>
      </c>
      <c r="S16" s="3">
        <v>0.7168674698795181</v>
      </c>
      <c r="V16" s="7" t="s">
        <v>53</v>
      </c>
      <c r="W16">
        <v>32148</v>
      </c>
      <c r="X16">
        <v>8110</v>
      </c>
      <c r="Y16">
        <v>3386</v>
      </c>
    </row>
    <row r="17" spans="1:25" x14ac:dyDescent="0.3">
      <c r="A17" t="s">
        <v>61</v>
      </c>
      <c r="B17" t="s">
        <v>38</v>
      </c>
      <c r="C17" s="24">
        <v>45502</v>
      </c>
      <c r="D17" t="s">
        <v>57</v>
      </c>
      <c r="E17" t="s">
        <v>504</v>
      </c>
      <c r="F17">
        <v>498</v>
      </c>
      <c r="G17">
        <v>701</v>
      </c>
      <c r="H17">
        <v>412</v>
      </c>
      <c r="I17">
        <v>4980</v>
      </c>
      <c r="J17">
        <v>4185</v>
      </c>
      <c r="K17">
        <v>185</v>
      </c>
      <c r="L17" t="s">
        <v>494</v>
      </c>
      <c r="N17">
        <f>SUM(F17:H17)/I17</f>
        <v>0.32349397590361445</v>
      </c>
      <c r="Q17" s="3" t="s">
        <v>298</v>
      </c>
      <c r="R17" s="3" t="s">
        <v>38</v>
      </c>
      <c r="S17" s="3">
        <v>0.70387596899224802</v>
      </c>
      <c r="V17" s="7" t="s">
        <v>57</v>
      </c>
      <c r="W17">
        <v>42649</v>
      </c>
      <c r="X17">
        <v>10049</v>
      </c>
      <c r="Y17">
        <v>3846</v>
      </c>
    </row>
    <row r="18" spans="1:25" x14ac:dyDescent="0.3">
      <c r="A18" t="s">
        <v>241</v>
      </c>
      <c r="B18" t="s">
        <v>18</v>
      </c>
      <c r="C18" s="24">
        <v>45790</v>
      </c>
      <c r="D18" t="s">
        <v>24</v>
      </c>
      <c r="E18" t="s">
        <v>511</v>
      </c>
      <c r="F18">
        <v>602</v>
      </c>
      <c r="G18">
        <v>594</v>
      </c>
      <c r="H18">
        <v>156</v>
      </c>
      <c r="I18">
        <v>4214</v>
      </c>
      <c r="J18">
        <v>3363</v>
      </c>
      <c r="K18">
        <v>164</v>
      </c>
      <c r="L18" t="s">
        <v>498</v>
      </c>
      <c r="M18" t="s">
        <v>503</v>
      </c>
      <c r="N18">
        <f>SUM(F18:H18)/I18</f>
        <v>0.32083531086853345</v>
      </c>
      <c r="Q18" s="3" t="s">
        <v>211</v>
      </c>
      <c r="R18" s="3" t="s">
        <v>38</v>
      </c>
      <c r="S18" s="3">
        <v>0.6508215962441315</v>
      </c>
      <c r="V18" s="7" t="s">
        <v>45</v>
      </c>
      <c r="W18">
        <v>25567</v>
      </c>
      <c r="X18">
        <v>5112</v>
      </c>
      <c r="Y18">
        <v>1946</v>
      </c>
    </row>
    <row r="19" spans="1:25" x14ac:dyDescent="0.3">
      <c r="A19" t="s">
        <v>283</v>
      </c>
      <c r="B19" t="s">
        <v>38</v>
      </c>
      <c r="C19" s="24">
        <v>45574</v>
      </c>
      <c r="D19" t="s">
        <v>20</v>
      </c>
      <c r="E19" t="s">
        <v>518</v>
      </c>
      <c r="F19">
        <v>985</v>
      </c>
      <c r="G19">
        <v>932</v>
      </c>
      <c r="H19">
        <v>287</v>
      </c>
      <c r="I19">
        <v>6895</v>
      </c>
      <c r="J19">
        <v>6757</v>
      </c>
      <c r="K19">
        <v>64</v>
      </c>
      <c r="L19" t="s">
        <v>494</v>
      </c>
      <c r="M19" t="s">
        <v>506</v>
      </c>
      <c r="N19">
        <f>SUM(F19:H19)/I19</f>
        <v>0.31965192168237855</v>
      </c>
      <c r="Q19" s="3" t="s">
        <v>146</v>
      </c>
      <c r="R19" s="3" t="s">
        <v>23</v>
      </c>
      <c r="S19" s="3">
        <v>0.53773584905660377</v>
      </c>
      <c r="V19" s="7" t="s">
        <v>14</v>
      </c>
      <c r="W19">
        <v>25770</v>
      </c>
      <c r="X19">
        <v>5912</v>
      </c>
      <c r="Y19">
        <v>2128</v>
      </c>
    </row>
    <row r="20" spans="1:25" x14ac:dyDescent="0.3">
      <c r="A20" t="s">
        <v>306</v>
      </c>
      <c r="B20" t="s">
        <v>38</v>
      </c>
      <c r="C20" s="24">
        <v>45695</v>
      </c>
      <c r="D20" t="s">
        <v>53</v>
      </c>
      <c r="E20" t="s">
        <v>516</v>
      </c>
      <c r="F20">
        <v>1970</v>
      </c>
      <c r="G20">
        <v>675</v>
      </c>
      <c r="H20">
        <v>478</v>
      </c>
      <c r="I20">
        <v>9850</v>
      </c>
      <c r="J20">
        <v>8924</v>
      </c>
      <c r="K20">
        <v>117</v>
      </c>
      <c r="L20" t="s">
        <v>494</v>
      </c>
      <c r="N20">
        <f>SUM(F20:H20)/I20</f>
        <v>0.31705583756345179</v>
      </c>
      <c r="Q20" s="3" t="s">
        <v>47</v>
      </c>
      <c r="R20" s="3" t="s">
        <v>23</v>
      </c>
      <c r="S20" s="3">
        <v>0.53389830508474578</v>
      </c>
      <c r="V20" s="6" t="s">
        <v>23</v>
      </c>
      <c r="W20">
        <v>201397</v>
      </c>
      <c r="X20">
        <v>33728</v>
      </c>
      <c r="Y20">
        <v>20880</v>
      </c>
    </row>
    <row r="21" spans="1:25" x14ac:dyDescent="0.3">
      <c r="A21" t="s">
        <v>382</v>
      </c>
      <c r="B21" t="s">
        <v>38</v>
      </c>
      <c r="C21" s="24">
        <v>45658</v>
      </c>
      <c r="D21" t="s">
        <v>20</v>
      </c>
      <c r="E21" t="s">
        <v>518</v>
      </c>
      <c r="F21">
        <v>2234</v>
      </c>
      <c r="G21">
        <v>653</v>
      </c>
      <c r="H21">
        <v>432</v>
      </c>
      <c r="I21">
        <v>11170</v>
      </c>
      <c r="J21">
        <v>10569</v>
      </c>
      <c r="K21">
        <v>198</v>
      </c>
      <c r="L21" t="s">
        <v>494</v>
      </c>
      <c r="M21" t="s">
        <v>503</v>
      </c>
      <c r="N21">
        <f>SUM(F21:H21)/I21</f>
        <v>0.29713518352730528</v>
      </c>
      <c r="Q21" s="3" t="s">
        <v>359</v>
      </c>
      <c r="R21" s="3" t="s">
        <v>13</v>
      </c>
      <c r="S21" s="3">
        <v>0.50192307692307692</v>
      </c>
      <c r="V21" s="7" t="s">
        <v>20</v>
      </c>
      <c r="W21">
        <v>48649</v>
      </c>
      <c r="X21">
        <v>5791</v>
      </c>
      <c r="Y21">
        <v>3607</v>
      </c>
    </row>
    <row r="22" spans="1:25" x14ac:dyDescent="0.3">
      <c r="A22" t="s">
        <v>101</v>
      </c>
      <c r="B22" t="s">
        <v>23</v>
      </c>
      <c r="C22" s="24">
        <v>45499</v>
      </c>
      <c r="D22" t="s">
        <v>20</v>
      </c>
      <c r="E22" t="s">
        <v>508</v>
      </c>
      <c r="F22">
        <v>432</v>
      </c>
      <c r="G22">
        <v>171</v>
      </c>
      <c r="H22">
        <v>280</v>
      </c>
      <c r="I22">
        <v>3024</v>
      </c>
      <c r="J22">
        <v>2285</v>
      </c>
      <c r="K22">
        <v>184</v>
      </c>
      <c r="L22" t="s">
        <v>505</v>
      </c>
      <c r="M22" t="s">
        <v>495</v>
      </c>
      <c r="N22">
        <f>SUM(F22:H22)/I22</f>
        <v>0.29199735449735448</v>
      </c>
      <c r="Q22" s="3" t="s">
        <v>185</v>
      </c>
      <c r="R22" s="3" t="s">
        <v>13</v>
      </c>
      <c r="S22" s="3">
        <v>0.48518407662376534</v>
      </c>
      <c r="V22" s="7" t="s">
        <v>24</v>
      </c>
      <c r="W22">
        <v>43761</v>
      </c>
      <c r="X22">
        <v>7110</v>
      </c>
      <c r="Y22">
        <v>5125</v>
      </c>
    </row>
    <row r="23" spans="1:25" x14ac:dyDescent="0.3">
      <c r="A23" t="s">
        <v>199</v>
      </c>
      <c r="B23" t="s">
        <v>38</v>
      </c>
      <c r="C23" s="24">
        <v>45643</v>
      </c>
      <c r="D23" t="s">
        <v>57</v>
      </c>
      <c r="E23" t="s">
        <v>504</v>
      </c>
      <c r="F23">
        <v>360</v>
      </c>
      <c r="G23">
        <v>590</v>
      </c>
      <c r="H23">
        <v>393</v>
      </c>
      <c r="I23">
        <v>4680</v>
      </c>
      <c r="J23">
        <v>4322</v>
      </c>
      <c r="K23">
        <v>208</v>
      </c>
      <c r="L23" t="s">
        <v>494</v>
      </c>
      <c r="M23" t="s">
        <v>499</v>
      </c>
      <c r="N23">
        <f>SUM(F23:H23)/I23</f>
        <v>0.28696581196581195</v>
      </c>
      <c r="Q23" s="3" t="s">
        <v>369</v>
      </c>
      <c r="R23" s="3" t="s">
        <v>18</v>
      </c>
      <c r="S23" s="3">
        <v>0.38274706867671693</v>
      </c>
      <c r="V23" s="7" t="s">
        <v>53</v>
      </c>
      <c r="W23">
        <v>27029</v>
      </c>
      <c r="X23">
        <v>4550</v>
      </c>
      <c r="Y23">
        <v>1913</v>
      </c>
    </row>
    <row r="24" spans="1:25" x14ac:dyDescent="0.3">
      <c r="A24" t="s">
        <v>212</v>
      </c>
      <c r="B24" t="s">
        <v>38</v>
      </c>
      <c r="C24" s="24">
        <v>45642</v>
      </c>
      <c r="D24" t="s">
        <v>45</v>
      </c>
      <c r="E24" t="s">
        <v>520</v>
      </c>
      <c r="F24">
        <v>438</v>
      </c>
      <c r="G24">
        <v>153</v>
      </c>
      <c r="H24">
        <v>275</v>
      </c>
      <c r="I24">
        <v>3066</v>
      </c>
      <c r="J24">
        <v>2701</v>
      </c>
      <c r="K24">
        <v>282</v>
      </c>
      <c r="L24" t="s">
        <v>498</v>
      </c>
      <c r="M24" t="s">
        <v>499</v>
      </c>
      <c r="N24">
        <f>SUM(F24:H24)/I24</f>
        <v>0.28245270711024134</v>
      </c>
      <c r="V24" s="7" t="s">
        <v>57</v>
      </c>
      <c r="W24">
        <v>20466</v>
      </c>
      <c r="X24">
        <v>5090</v>
      </c>
      <c r="Y24">
        <v>3026</v>
      </c>
    </row>
    <row r="25" spans="1:25" x14ac:dyDescent="0.3">
      <c r="A25" t="s">
        <v>255</v>
      </c>
      <c r="B25" t="s">
        <v>38</v>
      </c>
      <c r="C25" s="24">
        <v>45637</v>
      </c>
      <c r="D25" t="s">
        <v>14</v>
      </c>
      <c r="E25" t="s">
        <v>517</v>
      </c>
      <c r="F25">
        <v>1431</v>
      </c>
      <c r="G25">
        <v>951</v>
      </c>
      <c r="H25">
        <v>26</v>
      </c>
      <c r="I25">
        <v>8586</v>
      </c>
      <c r="J25">
        <v>8396</v>
      </c>
      <c r="K25">
        <v>150</v>
      </c>
      <c r="L25" t="s">
        <v>505</v>
      </c>
      <c r="M25" t="s">
        <v>503</v>
      </c>
      <c r="N25">
        <f>SUM(F25:H25)/I25</f>
        <v>0.28045655718611695</v>
      </c>
      <c r="V25" s="7" t="s">
        <v>45</v>
      </c>
      <c r="W25">
        <v>31899</v>
      </c>
      <c r="X25">
        <v>4861</v>
      </c>
      <c r="Y25">
        <v>3910</v>
      </c>
    </row>
    <row r="26" spans="1:25" x14ac:dyDescent="0.3">
      <c r="A26" t="s">
        <v>171</v>
      </c>
      <c r="B26" t="s">
        <v>38</v>
      </c>
      <c r="C26" s="24">
        <v>45524</v>
      </c>
      <c r="D26" t="s">
        <v>53</v>
      </c>
      <c r="E26" t="s">
        <v>516</v>
      </c>
      <c r="F26">
        <v>2603</v>
      </c>
      <c r="G26">
        <v>690</v>
      </c>
      <c r="H26">
        <v>205</v>
      </c>
      <c r="I26">
        <v>13015</v>
      </c>
      <c r="J26">
        <v>12130</v>
      </c>
      <c r="K26">
        <v>20</v>
      </c>
      <c r="L26" t="s">
        <v>494</v>
      </c>
      <c r="M26" t="s">
        <v>499</v>
      </c>
      <c r="N26">
        <f>SUM(F26:H26)/I26</f>
        <v>0.26876680752977333</v>
      </c>
      <c r="V26" s="7" t="s">
        <v>14</v>
      </c>
      <c r="W26">
        <v>29593</v>
      </c>
      <c r="X26">
        <v>6326</v>
      </c>
      <c r="Y26">
        <v>3299</v>
      </c>
    </row>
    <row r="27" spans="1:25" x14ac:dyDescent="0.3">
      <c r="A27" t="s">
        <v>371</v>
      </c>
      <c r="B27" t="s">
        <v>18</v>
      </c>
      <c r="C27" s="24">
        <v>45690</v>
      </c>
      <c r="D27" t="s">
        <v>57</v>
      </c>
      <c r="E27" t="s">
        <v>514</v>
      </c>
      <c r="F27">
        <v>886</v>
      </c>
      <c r="G27">
        <v>126</v>
      </c>
      <c r="H27">
        <v>153</v>
      </c>
      <c r="I27">
        <v>4430</v>
      </c>
      <c r="J27">
        <v>4037</v>
      </c>
      <c r="K27">
        <v>212</v>
      </c>
      <c r="L27" t="s">
        <v>505</v>
      </c>
      <c r="N27">
        <f>SUM(F27:H27)/I27</f>
        <v>0.26297968397291194</v>
      </c>
      <c r="V27" s="6" t="s">
        <v>13</v>
      </c>
      <c r="W27">
        <v>171549</v>
      </c>
      <c r="X27">
        <v>28572</v>
      </c>
      <c r="Y27">
        <v>12820</v>
      </c>
    </row>
    <row r="28" spans="1:25" x14ac:dyDescent="0.3">
      <c r="A28" t="s">
        <v>109</v>
      </c>
      <c r="B28" t="s">
        <v>501</v>
      </c>
      <c r="C28" s="24">
        <v>45590</v>
      </c>
      <c r="D28" t="s">
        <v>14</v>
      </c>
      <c r="E28" t="s">
        <v>526</v>
      </c>
      <c r="F28">
        <v>4661</v>
      </c>
      <c r="G28">
        <v>935</v>
      </c>
      <c r="H28">
        <v>433</v>
      </c>
      <c r="I28">
        <v>23305</v>
      </c>
      <c r="J28">
        <v>22583</v>
      </c>
      <c r="K28">
        <v>63</v>
      </c>
      <c r="L28" t="s">
        <v>494</v>
      </c>
      <c r="M28" t="s">
        <v>503</v>
      </c>
      <c r="N28">
        <f>SUM(F28:H28)/I28</f>
        <v>0.25869984981763572</v>
      </c>
      <c r="V28" s="7" t="s">
        <v>20</v>
      </c>
      <c r="W28">
        <v>24926</v>
      </c>
      <c r="X28">
        <v>6305</v>
      </c>
      <c r="Y28">
        <v>2422</v>
      </c>
    </row>
    <row r="29" spans="1:25" x14ac:dyDescent="0.3">
      <c r="A29" t="s">
        <v>276</v>
      </c>
      <c r="B29" t="s">
        <v>18</v>
      </c>
      <c r="C29" s="24">
        <v>45698</v>
      </c>
      <c r="D29" t="s">
        <v>45</v>
      </c>
      <c r="E29" t="s">
        <v>510</v>
      </c>
      <c r="F29">
        <v>562</v>
      </c>
      <c r="G29">
        <v>158</v>
      </c>
      <c r="H29">
        <v>149</v>
      </c>
      <c r="I29">
        <v>3372</v>
      </c>
      <c r="J29">
        <v>2940</v>
      </c>
      <c r="K29">
        <v>93</v>
      </c>
      <c r="L29" t="s">
        <v>498</v>
      </c>
      <c r="M29" t="s">
        <v>495</v>
      </c>
      <c r="N29">
        <f>SUM(F29:H29)/I29</f>
        <v>0.25771055753262156</v>
      </c>
      <c r="V29" s="7" t="s">
        <v>24</v>
      </c>
      <c r="W29">
        <v>23903</v>
      </c>
      <c r="X29">
        <v>4310</v>
      </c>
      <c r="Y29">
        <v>2077</v>
      </c>
    </row>
    <row r="30" spans="1:25" x14ac:dyDescent="0.3">
      <c r="A30" t="s">
        <v>82</v>
      </c>
      <c r="B30" t="s">
        <v>23</v>
      </c>
      <c r="C30" s="24">
        <v>45685</v>
      </c>
      <c r="D30" t="s">
        <v>53</v>
      </c>
      <c r="E30" t="s">
        <v>493</v>
      </c>
      <c r="F30">
        <v>1188</v>
      </c>
      <c r="G30">
        <v>470</v>
      </c>
      <c r="H30">
        <v>174</v>
      </c>
      <c r="I30">
        <v>7128</v>
      </c>
      <c r="J30">
        <v>6145</v>
      </c>
      <c r="K30">
        <v>270</v>
      </c>
      <c r="L30" t="s">
        <v>498</v>
      </c>
      <c r="M30" t="s">
        <v>506</v>
      </c>
      <c r="N30">
        <f>SUM(F30:H30)/I30</f>
        <v>0.25701459034792368</v>
      </c>
      <c r="V30" s="7" t="s">
        <v>53</v>
      </c>
      <c r="W30">
        <v>32400</v>
      </c>
      <c r="X30">
        <v>4577</v>
      </c>
      <c r="Y30">
        <v>2668</v>
      </c>
    </row>
    <row r="31" spans="1:25" x14ac:dyDescent="0.3">
      <c r="A31" t="s">
        <v>299</v>
      </c>
      <c r="B31" t="s">
        <v>38</v>
      </c>
      <c r="C31" s="24">
        <v>45511</v>
      </c>
      <c r="D31" t="s">
        <v>20</v>
      </c>
      <c r="E31" t="s">
        <v>518</v>
      </c>
      <c r="F31">
        <v>1741</v>
      </c>
      <c r="G31">
        <v>164</v>
      </c>
      <c r="H31">
        <v>318</v>
      </c>
      <c r="I31">
        <v>8705</v>
      </c>
      <c r="J31">
        <v>8272</v>
      </c>
      <c r="K31">
        <v>121</v>
      </c>
      <c r="L31" t="s">
        <v>498</v>
      </c>
      <c r="N31">
        <f>SUM(F31:H31)/I31</f>
        <v>0.25537047673750718</v>
      </c>
      <c r="V31" s="7" t="s">
        <v>57</v>
      </c>
      <c r="W31">
        <v>31968</v>
      </c>
      <c r="X31">
        <v>3866</v>
      </c>
      <c r="Y31">
        <v>2012</v>
      </c>
    </row>
    <row r="32" spans="1:25" x14ac:dyDescent="0.3">
      <c r="A32" t="s">
        <v>174</v>
      </c>
      <c r="B32" t="s">
        <v>23</v>
      </c>
      <c r="C32" s="24">
        <v>45708</v>
      </c>
      <c r="D32" t="s">
        <v>20</v>
      </c>
      <c r="E32" t="s">
        <v>508</v>
      </c>
      <c r="F32">
        <v>1877</v>
      </c>
      <c r="G32">
        <v>745</v>
      </c>
      <c r="H32">
        <v>225</v>
      </c>
      <c r="I32">
        <v>11262</v>
      </c>
      <c r="J32">
        <v>10967</v>
      </c>
      <c r="K32">
        <v>41</v>
      </c>
      <c r="L32" t="s">
        <v>505</v>
      </c>
      <c r="M32" t="s">
        <v>506</v>
      </c>
      <c r="N32">
        <f>SUM(F32:H32)/I32</f>
        <v>0.25279701651571657</v>
      </c>
      <c r="V32" s="7" t="s">
        <v>45</v>
      </c>
      <c r="W32">
        <v>27067</v>
      </c>
      <c r="X32">
        <v>3928</v>
      </c>
      <c r="Y32">
        <v>1052</v>
      </c>
    </row>
    <row r="33" spans="1:25" x14ac:dyDescent="0.3">
      <c r="A33" t="s">
        <v>133</v>
      </c>
      <c r="B33" t="s">
        <v>501</v>
      </c>
      <c r="C33" s="24">
        <v>45712</v>
      </c>
      <c r="D33" t="s">
        <v>45</v>
      </c>
      <c r="E33" t="s">
        <v>519</v>
      </c>
      <c r="F33">
        <v>4188</v>
      </c>
      <c r="G33">
        <v>942</v>
      </c>
      <c r="H33">
        <v>118</v>
      </c>
      <c r="I33">
        <v>20940</v>
      </c>
      <c r="J33">
        <v>20471</v>
      </c>
      <c r="K33">
        <v>102</v>
      </c>
      <c r="L33" t="s">
        <v>494</v>
      </c>
      <c r="N33">
        <f>SUM(F33:H33)/I33</f>
        <v>0.25062082139446035</v>
      </c>
      <c r="Q33" s="4" t="s">
        <v>1881</v>
      </c>
      <c r="R33" s="4" t="s">
        <v>1882</v>
      </c>
      <c r="V33" s="7" t="s">
        <v>14</v>
      </c>
      <c r="W33">
        <v>31285</v>
      </c>
      <c r="X33">
        <v>5586</v>
      </c>
      <c r="Y33">
        <v>2589</v>
      </c>
    </row>
    <row r="34" spans="1:25" x14ac:dyDescent="0.3">
      <c r="A34" t="s">
        <v>169</v>
      </c>
      <c r="B34" t="s">
        <v>501</v>
      </c>
      <c r="C34" s="24">
        <v>45737</v>
      </c>
      <c r="D34" t="s">
        <v>24</v>
      </c>
      <c r="E34" t="s">
        <v>509</v>
      </c>
      <c r="F34">
        <v>606</v>
      </c>
      <c r="G34">
        <v>789</v>
      </c>
      <c r="H34">
        <v>470</v>
      </c>
      <c r="I34">
        <v>7878</v>
      </c>
      <c r="J34">
        <v>7389</v>
      </c>
      <c r="K34">
        <v>239</v>
      </c>
      <c r="L34" t="s">
        <v>505</v>
      </c>
      <c r="M34" t="s">
        <v>503</v>
      </c>
      <c r="N34">
        <f>SUM(F34:H34)/I34</f>
        <v>0.23673521198273673</v>
      </c>
      <c r="V34" s="6" t="s">
        <v>434</v>
      </c>
      <c r="W34">
        <v>819991</v>
      </c>
      <c r="X34">
        <v>142925</v>
      </c>
      <c r="Y34">
        <v>74851</v>
      </c>
    </row>
    <row r="35" spans="1:25" x14ac:dyDescent="0.3">
      <c r="A35" t="s">
        <v>257</v>
      </c>
      <c r="B35" t="s">
        <v>18</v>
      </c>
      <c r="C35" s="24">
        <v>45576</v>
      </c>
      <c r="D35" t="s">
        <v>24</v>
      </c>
      <c r="E35" t="s">
        <v>511</v>
      </c>
      <c r="F35">
        <v>400</v>
      </c>
      <c r="G35">
        <v>680</v>
      </c>
      <c r="H35">
        <v>434</v>
      </c>
      <c r="I35">
        <v>6400</v>
      </c>
      <c r="J35">
        <v>5472</v>
      </c>
      <c r="K35">
        <v>160</v>
      </c>
      <c r="L35" t="s">
        <v>494</v>
      </c>
      <c r="M35" t="s">
        <v>499</v>
      </c>
      <c r="N35">
        <f>SUM(F35:H35)/I35</f>
        <v>0.23656250000000001</v>
      </c>
      <c r="Q35" s="27" t="s">
        <v>492</v>
      </c>
      <c r="R35" s="27" t="s">
        <v>491</v>
      </c>
    </row>
    <row r="36" spans="1:25" x14ac:dyDescent="0.3">
      <c r="A36" t="s">
        <v>234</v>
      </c>
      <c r="B36" t="s">
        <v>38</v>
      </c>
      <c r="C36" s="24">
        <v>45457</v>
      </c>
      <c r="D36" t="s">
        <v>57</v>
      </c>
      <c r="E36" t="s">
        <v>504</v>
      </c>
      <c r="F36">
        <v>4363</v>
      </c>
      <c r="G36">
        <v>649</v>
      </c>
      <c r="H36">
        <v>140</v>
      </c>
      <c r="I36">
        <v>21815</v>
      </c>
      <c r="J36">
        <v>21481</v>
      </c>
      <c r="K36">
        <v>157</v>
      </c>
      <c r="L36" t="s">
        <v>505</v>
      </c>
      <c r="M36" t="s">
        <v>495</v>
      </c>
      <c r="N36">
        <f>SUM(F36:H36)/I36</f>
        <v>0.23616777446710979</v>
      </c>
      <c r="Q36" s="26" t="s">
        <v>496</v>
      </c>
      <c r="R36" s="26">
        <v>161.19999999999999</v>
      </c>
    </row>
    <row r="37" spans="1:25" x14ac:dyDescent="0.3">
      <c r="A37" t="s">
        <v>162</v>
      </c>
      <c r="B37" t="s">
        <v>18</v>
      </c>
      <c r="C37" s="24">
        <v>45586</v>
      </c>
      <c r="D37" t="s">
        <v>57</v>
      </c>
      <c r="E37" t="s">
        <v>514</v>
      </c>
      <c r="F37">
        <v>780</v>
      </c>
      <c r="G37">
        <v>928</v>
      </c>
      <c r="H37">
        <v>301</v>
      </c>
      <c r="I37">
        <v>8580</v>
      </c>
      <c r="J37">
        <v>8081</v>
      </c>
      <c r="K37">
        <v>91</v>
      </c>
      <c r="L37" t="s">
        <v>505</v>
      </c>
      <c r="M37" t="s">
        <v>503</v>
      </c>
      <c r="N37">
        <f>SUM(F37:H37)/I37</f>
        <v>0.23414918414918415</v>
      </c>
      <c r="Q37" s="26" t="s">
        <v>498</v>
      </c>
      <c r="R37" s="26">
        <v>158.65420560747663</v>
      </c>
      <c r="V37" s="4" t="s">
        <v>447</v>
      </c>
    </row>
    <row r="38" spans="1:25" x14ac:dyDescent="0.3">
      <c r="A38" t="s">
        <v>22</v>
      </c>
      <c r="B38" t="s">
        <v>23</v>
      </c>
      <c r="C38" s="24">
        <v>45535</v>
      </c>
      <c r="D38" t="s">
        <v>24</v>
      </c>
      <c r="E38" t="s">
        <v>521</v>
      </c>
      <c r="F38">
        <v>3170</v>
      </c>
      <c r="G38">
        <v>857</v>
      </c>
      <c r="H38">
        <v>379</v>
      </c>
      <c r="I38">
        <v>19020</v>
      </c>
      <c r="J38">
        <v>18559</v>
      </c>
      <c r="K38">
        <v>240</v>
      </c>
      <c r="L38" t="s">
        <v>494</v>
      </c>
      <c r="N38">
        <f>SUM(F38:H38)/I38</f>
        <v>0.2316508937960042</v>
      </c>
      <c r="Q38" s="26" t="s">
        <v>505</v>
      </c>
      <c r="R38" s="26">
        <v>151.52941176470588</v>
      </c>
    </row>
    <row r="39" spans="1:25" hidden="1" x14ac:dyDescent="0.3">
      <c r="A39" t="s">
        <v>292</v>
      </c>
      <c r="B39" t="s">
        <v>38</v>
      </c>
      <c r="C39" s="24">
        <v>45755</v>
      </c>
      <c r="D39" t="s">
        <v>24</v>
      </c>
      <c r="E39" t="s">
        <v>525</v>
      </c>
      <c r="F39">
        <v>4501</v>
      </c>
      <c r="G39">
        <v>375</v>
      </c>
      <c r="H39">
        <v>323</v>
      </c>
      <c r="I39">
        <v>22505</v>
      </c>
      <c r="J39">
        <v>21836</v>
      </c>
      <c r="K39">
        <v>132</v>
      </c>
      <c r="L39" t="s">
        <v>498</v>
      </c>
      <c r="M39" t="s">
        <v>499</v>
      </c>
      <c r="N39">
        <f>SUM(F39:H39)/I39</f>
        <v>0.23101532992668297</v>
      </c>
      <c r="Q39" s="26" t="s">
        <v>434</v>
      </c>
      <c r="R39" s="26">
        <v>150.58702064896755</v>
      </c>
      <c r="V39" s="5" t="s">
        <v>492</v>
      </c>
      <c r="W39" t="s">
        <v>491</v>
      </c>
    </row>
    <row r="40" spans="1:25" x14ac:dyDescent="0.3">
      <c r="A40" t="s">
        <v>321</v>
      </c>
      <c r="B40" t="s">
        <v>38</v>
      </c>
      <c r="C40" s="24">
        <v>45601</v>
      </c>
      <c r="D40" t="s">
        <v>14</v>
      </c>
      <c r="E40" t="s">
        <v>517</v>
      </c>
      <c r="F40">
        <v>4561</v>
      </c>
      <c r="G40">
        <v>51</v>
      </c>
      <c r="H40">
        <v>441</v>
      </c>
      <c r="I40">
        <v>22805</v>
      </c>
      <c r="J40">
        <v>21890</v>
      </c>
      <c r="K40">
        <v>45</v>
      </c>
      <c r="L40" t="s">
        <v>498</v>
      </c>
      <c r="M40" t="s">
        <v>499</v>
      </c>
      <c r="N40">
        <f>SUM(F40:H40)/I40</f>
        <v>0.22157421618066214</v>
      </c>
      <c r="Q40" s="26" t="s">
        <v>494</v>
      </c>
      <c r="R40" s="26">
        <v>144.03883495145632</v>
      </c>
      <c r="V40" s="6" t="s">
        <v>496</v>
      </c>
      <c r="W40">
        <v>161.19999999999999</v>
      </c>
    </row>
    <row r="41" spans="1:25" x14ac:dyDescent="0.3">
      <c r="A41" t="s">
        <v>331</v>
      </c>
      <c r="B41" t="s">
        <v>501</v>
      </c>
      <c r="C41" s="24">
        <v>45721</v>
      </c>
      <c r="D41" t="s">
        <v>53</v>
      </c>
      <c r="E41" t="s">
        <v>502</v>
      </c>
      <c r="F41">
        <v>1543</v>
      </c>
      <c r="G41">
        <v>820</v>
      </c>
      <c r="H41">
        <v>333</v>
      </c>
      <c r="I41">
        <v>12344</v>
      </c>
      <c r="J41">
        <v>11496</v>
      </c>
      <c r="K41">
        <v>241</v>
      </c>
      <c r="L41" t="s">
        <v>505</v>
      </c>
      <c r="N41">
        <f>SUM(F41:H41)/I41</f>
        <v>0.21840570317563188</v>
      </c>
      <c r="Q41" s="26" t="s">
        <v>500</v>
      </c>
      <c r="R41" s="26">
        <v>114.85714285714286</v>
      </c>
      <c r="V41" s="6" t="s">
        <v>500</v>
      </c>
      <c r="W41">
        <v>114.85714285714286</v>
      </c>
    </row>
    <row r="42" spans="1:25" x14ac:dyDescent="0.3">
      <c r="A42" t="s">
        <v>229</v>
      </c>
      <c r="B42" t="s">
        <v>38</v>
      </c>
      <c r="C42" s="24">
        <v>45640</v>
      </c>
      <c r="D42" t="s">
        <v>20</v>
      </c>
      <c r="E42" t="s">
        <v>518</v>
      </c>
      <c r="F42">
        <v>2174</v>
      </c>
      <c r="G42">
        <v>658</v>
      </c>
      <c r="H42">
        <v>15</v>
      </c>
      <c r="I42">
        <v>13044</v>
      </c>
      <c r="J42">
        <v>12206</v>
      </c>
      <c r="K42">
        <v>137</v>
      </c>
      <c r="L42" t="s">
        <v>498</v>
      </c>
      <c r="M42" t="s">
        <v>503</v>
      </c>
      <c r="N42">
        <f>SUM(F42:H42)/I42</f>
        <v>0.21826126954921804</v>
      </c>
      <c r="Q42" s="26" t="s">
        <v>527</v>
      </c>
      <c r="R42" s="26">
        <v>111.8</v>
      </c>
      <c r="V42" s="6" t="s">
        <v>505</v>
      </c>
      <c r="W42">
        <v>151.52941176470588</v>
      </c>
    </row>
    <row r="43" spans="1:25" x14ac:dyDescent="0.3">
      <c r="A43" t="s">
        <v>104</v>
      </c>
      <c r="B43" t="s">
        <v>18</v>
      </c>
      <c r="C43" s="24">
        <v>45621</v>
      </c>
      <c r="D43" t="s">
        <v>57</v>
      </c>
      <c r="E43" t="s">
        <v>514</v>
      </c>
      <c r="F43">
        <v>2120</v>
      </c>
      <c r="G43">
        <v>158</v>
      </c>
      <c r="H43">
        <v>488</v>
      </c>
      <c r="I43">
        <v>12720</v>
      </c>
      <c r="J43">
        <v>12085</v>
      </c>
      <c r="K43">
        <v>17</v>
      </c>
      <c r="L43" t="s">
        <v>494</v>
      </c>
      <c r="M43" t="s">
        <v>499</v>
      </c>
      <c r="N43">
        <f>SUM(F43:H43)/I43</f>
        <v>0.21745283018867925</v>
      </c>
      <c r="V43" s="6" t="s">
        <v>494</v>
      </c>
      <c r="W43">
        <v>144.03883495145632</v>
      </c>
    </row>
    <row r="44" spans="1:25" x14ac:dyDescent="0.3">
      <c r="A44" t="s">
        <v>327</v>
      </c>
      <c r="B44" t="s">
        <v>501</v>
      </c>
      <c r="C44" s="24">
        <v>45448</v>
      </c>
      <c r="D44" t="s">
        <v>53</v>
      </c>
      <c r="E44" t="s">
        <v>502</v>
      </c>
      <c r="F44">
        <v>3065</v>
      </c>
      <c r="G44">
        <v>772</v>
      </c>
      <c r="H44">
        <v>142</v>
      </c>
      <c r="I44">
        <v>18390</v>
      </c>
      <c r="J44">
        <v>17875</v>
      </c>
      <c r="K44">
        <v>200</v>
      </c>
      <c r="L44" t="s">
        <v>505</v>
      </c>
      <c r="N44">
        <f>SUM(F44:H44)/I44</f>
        <v>0.21636759108210984</v>
      </c>
      <c r="V44" s="6" t="s">
        <v>527</v>
      </c>
      <c r="W44">
        <v>111.8</v>
      </c>
    </row>
    <row r="45" spans="1:25" x14ac:dyDescent="0.3">
      <c r="A45" t="s">
        <v>327</v>
      </c>
      <c r="B45" t="s">
        <v>501</v>
      </c>
      <c r="C45" s="24">
        <v>45448</v>
      </c>
      <c r="D45" t="s">
        <v>53</v>
      </c>
      <c r="E45" t="s">
        <v>502</v>
      </c>
      <c r="F45">
        <v>3065</v>
      </c>
      <c r="G45">
        <v>772</v>
      </c>
      <c r="H45">
        <v>142</v>
      </c>
      <c r="I45">
        <v>18390</v>
      </c>
      <c r="J45">
        <v>17875</v>
      </c>
      <c r="K45">
        <v>200</v>
      </c>
      <c r="L45" t="s">
        <v>496</v>
      </c>
      <c r="N45">
        <f>SUM(F45:H45)/I45</f>
        <v>0.21636759108210984</v>
      </c>
      <c r="V45" s="6" t="s">
        <v>498</v>
      </c>
      <c r="W45">
        <v>158.65420560747663</v>
      </c>
    </row>
    <row r="46" spans="1:25" x14ac:dyDescent="0.3">
      <c r="A46" t="s">
        <v>37</v>
      </c>
      <c r="B46" t="s">
        <v>38</v>
      </c>
      <c r="C46" s="24">
        <v>45688</v>
      </c>
      <c r="D46" t="s">
        <v>20</v>
      </c>
      <c r="E46" t="s">
        <v>518</v>
      </c>
      <c r="F46">
        <v>2566</v>
      </c>
      <c r="G46">
        <v>118</v>
      </c>
      <c r="H46">
        <v>37</v>
      </c>
      <c r="I46">
        <v>12830</v>
      </c>
      <c r="J46">
        <v>12264</v>
      </c>
      <c r="K46">
        <v>221</v>
      </c>
      <c r="L46" t="s">
        <v>494</v>
      </c>
      <c r="M46" t="s">
        <v>503</v>
      </c>
      <c r="N46">
        <f>SUM(F46:H46)/I46</f>
        <v>0.21208106001558846</v>
      </c>
      <c r="V46" s="6" t="s">
        <v>434</v>
      </c>
      <c r="W46">
        <v>150.58702064896755</v>
      </c>
    </row>
    <row r="47" spans="1:25" x14ac:dyDescent="0.3">
      <c r="A47" t="s">
        <v>35</v>
      </c>
      <c r="B47" t="s">
        <v>18</v>
      </c>
      <c r="C47" s="24">
        <v>45504</v>
      </c>
      <c r="D47" t="s">
        <v>14</v>
      </c>
      <c r="E47" t="s">
        <v>515</v>
      </c>
      <c r="F47">
        <v>3008</v>
      </c>
      <c r="G47">
        <v>94</v>
      </c>
      <c r="H47">
        <v>37</v>
      </c>
      <c r="I47">
        <v>15040</v>
      </c>
      <c r="J47">
        <v>14639</v>
      </c>
      <c r="K47">
        <v>277</v>
      </c>
      <c r="L47" t="s">
        <v>494</v>
      </c>
      <c r="N47">
        <f>SUM(F47:H47)/I47</f>
        <v>0.20871010638297871</v>
      </c>
    </row>
    <row r="48" spans="1:25" x14ac:dyDescent="0.3">
      <c r="A48" t="s">
        <v>309</v>
      </c>
      <c r="B48" t="s">
        <v>23</v>
      </c>
      <c r="C48" s="24">
        <v>45449</v>
      </c>
      <c r="D48" t="s">
        <v>14</v>
      </c>
      <c r="E48" t="s">
        <v>522</v>
      </c>
      <c r="F48">
        <v>1436</v>
      </c>
      <c r="G48">
        <v>765</v>
      </c>
      <c r="H48">
        <v>496</v>
      </c>
      <c r="I48">
        <v>12924</v>
      </c>
      <c r="J48">
        <v>12701</v>
      </c>
      <c r="K48">
        <v>197</v>
      </c>
      <c r="L48" t="s">
        <v>494</v>
      </c>
      <c r="M48" t="s">
        <v>503</v>
      </c>
      <c r="N48">
        <f>SUM(F48:H48)/I48</f>
        <v>0.20868152274837512</v>
      </c>
    </row>
    <row r="49" spans="1:14" x14ac:dyDescent="0.3">
      <c r="A49" t="s">
        <v>339</v>
      </c>
      <c r="B49" t="s">
        <v>18</v>
      </c>
      <c r="C49" s="24">
        <v>45720</v>
      </c>
      <c r="D49" t="s">
        <v>57</v>
      </c>
      <c r="E49" t="s">
        <v>514</v>
      </c>
      <c r="F49">
        <v>1249</v>
      </c>
      <c r="G49">
        <v>116</v>
      </c>
      <c r="H49">
        <v>420</v>
      </c>
      <c r="I49">
        <v>8743</v>
      </c>
      <c r="J49">
        <v>8538</v>
      </c>
      <c r="K49">
        <v>63</v>
      </c>
      <c r="L49" t="s">
        <v>498</v>
      </c>
      <c r="N49">
        <f>SUM(F49:H49)/I49</f>
        <v>0.20416333066453163</v>
      </c>
    </row>
    <row r="50" spans="1:14" x14ac:dyDescent="0.3">
      <c r="A50" t="s">
        <v>260</v>
      </c>
      <c r="B50" t="s">
        <v>38</v>
      </c>
      <c r="C50" s="24">
        <v>45484</v>
      </c>
      <c r="D50" t="s">
        <v>45</v>
      </c>
      <c r="E50" t="s">
        <v>520</v>
      </c>
      <c r="F50">
        <v>3134</v>
      </c>
      <c r="G50">
        <v>888</v>
      </c>
      <c r="H50">
        <v>444</v>
      </c>
      <c r="I50">
        <v>21938</v>
      </c>
      <c r="J50">
        <v>21337</v>
      </c>
      <c r="K50">
        <v>130</v>
      </c>
      <c r="L50" t="s">
        <v>505</v>
      </c>
      <c r="M50" t="s">
        <v>506</v>
      </c>
      <c r="N50">
        <f>SUM(F50:H50)/I50</f>
        <v>0.20357370772176134</v>
      </c>
    </row>
    <row r="51" spans="1:14" x14ac:dyDescent="0.3">
      <c r="A51" t="s">
        <v>324</v>
      </c>
      <c r="B51" t="s">
        <v>38</v>
      </c>
      <c r="C51" s="24">
        <v>45509</v>
      </c>
      <c r="D51" t="s">
        <v>57</v>
      </c>
      <c r="E51" t="s">
        <v>504</v>
      </c>
      <c r="F51">
        <v>3601</v>
      </c>
      <c r="G51">
        <v>695</v>
      </c>
      <c r="H51">
        <v>75</v>
      </c>
      <c r="I51">
        <v>21606</v>
      </c>
      <c r="J51">
        <v>21454</v>
      </c>
      <c r="K51">
        <v>172</v>
      </c>
      <c r="L51" t="s">
        <v>505</v>
      </c>
      <c r="M51" t="s">
        <v>499</v>
      </c>
      <c r="N51">
        <f>SUM(F51:H51)/I51</f>
        <v>0.2023049153013052</v>
      </c>
    </row>
    <row r="52" spans="1:14" x14ac:dyDescent="0.3">
      <c r="A52" t="s">
        <v>226</v>
      </c>
      <c r="B52" t="s">
        <v>38</v>
      </c>
      <c r="C52" s="24">
        <v>45762</v>
      </c>
      <c r="D52" t="s">
        <v>14</v>
      </c>
      <c r="E52" t="s">
        <v>517</v>
      </c>
      <c r="F52">
        <v>4133</v>
      </c>
      <c r="G52">
        <v>466</v>
      </c>
      <c r="H52">
        <v>327</v>
      </c>
      <c r="I52">
        <v>24798</v>
      </c>
      <c r="J52">
        <v>24620</v>
      </c>
      <c r="K52">
        <v>176</v>
      </c>
      <c r="L52" t="s">
        <v>505</v>
      </c>
      <c r="M52" t="s">
        <v>506</v>
      </c>
      <c r="N52">
        <f>SUM(F52:H52)/I52</f>
        <v>0.19864505202032423</v>
      </c>
    </row>
    <row r="53" spans="1:14" x14ac:dyDescent="0.3">
      <c r="A53" t="s">
        <v>231</v>
      </c>
      <c r="B53" t="s">
        <v>23</v>
      </c>
      <c r="C53" s="24">
        <v>45549</v>
      </c>
      <c r="D53" t="s">
        <v>24</v>
      </c>
      <c r="E53" t="s">
        <v>521</v>
      </c>
      <c r="F53">
        <v>1048</v>
      </c>
      <c r="G53">
        <v>374</v>
      </c>
      <c r="H53">
        <v>450</v>
      </c>
      <c r="I53">
        <v>9432</v>
      </c>
      <c r="J53">
        <v>8882</v>
      </c>
      <c r="K53">
        <v>158</v>
      </c>
      <c r="L53" t="s">
        <v>498</v>
      </c>
      <c r="M53" t="s">
        <v>503</v>
      </c>
      <c r="N53">
        <f>SUM(F53:H53)/I53</f>
        <v>0.19847328244274809</v>
      </c>
    </row>
    <row r="54" spans="1:14" x14ac:dyDescent="0.3">
      <c r="A54" t="s">
        <v>154</v>
      </c>
      <c r="B54" t="s">
        <v>18</v>
      </c>
      <c r="C54" s="24">
        <v>45769</v>
      </c>
      <c r="D54" t="s">
        <v>24</v>
      </c>
      <c r="E54" t="s">
        <v>511</v>
      </c>
      <c r="F54">
        <v>4804</v>
      </c>
      <c r="G54">
        <v>550</v>
      </c>
      <c r="H54">
        <v>270</v>
      </c>
      <c r="I54">
        <v>28824</v>
      </c>
      <c r="J54">
        <v>28370</v>
      </c>
      <c r="K54">
        <v>47</v>
      </c>
      <c r="L54" t="s">
        <v>505</v>
      </c>
      <c r="M54" t="s">
        <v>506</v>
      </c>
      <c r="N54">
        <f>SUM(F54:H54)/I54</f>
        <v>0.19511518179295032</v>
      </c>
    </row>
    <row r="55" spans="1:14" x14ac:dyDescent="0.3">
      <c r="A55" t="s">
        <v>287</v>
      </c>
      <c r="B55" t="s">
        <v>38</v>
      </c>
      <c r="C55" s="24">
        <v>45634</v>
      </c>
      <c r="D55" t="s">
        <v>57</v>
      </c>
      <c r="E55" t="s">
        <v>504</v>
      </c>
      <c r="F55">
        <v>2610</v>
      </c>
      <c r="G55">
        <v>126</v>
      </c>
      <c r="H55">
        <v>288</v>
      </c>
      <c r="I55">
        <v>15660</v>
      </c>
      <c r="J55">
        <v>15145</v>
      </c>
      <c r="K55">
        <v>73</v>
      </c>
      <c r="L55" t="s">
        <v>505</v>
      </c>
      <c r="N55">
        <f>SUM(F55:H55)/I55</f>
        <v>0.19310344827586207</v>
      </c>
    </row>
    <row r="56" spans="1:14" x14ac:dyDescent="0.3">
      <c r="A56" t="s">
        <v>181</v>
      </c>
      <c r="B56" t="s">
        <v>38</v>
      </c>
      <c r="C56" s="24">
        <v>45766</v>
      </c>
      <c r="D56" t="s">
        <v>24</v>
      </c>
      <c r="E56" t="s">
        <v>525</v>
      </c>
      <c r="F56">
        <v>4177</v>
      </c>
      <c r="G56">
        <v>569</v>
      </c>
      <c r="H56">
        <v>55</v>
      </c>
      <c r="I56">
        <v>25062</v>
      </c>
      <c r="J56">
        <v>24847</v>
      </c>
      <c r="K56">
        <v>230</v>
      </c>
      <c r="L56" t="s">
        <v>494</v>
      </c>
      <c r="M56" t="s">
        <v>495</v>
      </c>
      <c r="N56">
        <f>SUM(F56:H56)/I56</f>
        <v>0.19156491900087783</v>
      </c>
    </row>
    <row r="57" spans="1:14" x14ac:dyDescent="0.3">
      <c r="A57" t="s">
        <v>31</v>
      </c>
      <c r="B57" t="s">
        <v>23</v>
      </c>
      <c r="C57" s="24">
        <v>45504</v>
      </c>
      <c r="D57" t="s">
        <v>20</v>
      </c>
      <c r="E57" t="s">
        <v>508</v>
      </c>
      <c r="F57">
        <v>2278</v>
      </c>
      <c r="G57">
        <v>10</v>
      </c>
      <c r="H57">
        <v>321</v>
      </c>
      <c r="I57">
        <v>13668</v>
      </c>
      <c r="J57">
        <v>12676</v>
      </c>
      <c r="K57">
        <v>275</v>
      </c>
      <c r="L57" t="s">
        <v>505</v>
      </c>
      <c r="M57" t="s">
        <v>495</v>
      </c>
      <c r="N57">
        <f>SUM(F57:H57)/I57</f>
        <v>0.19088381621305239</v>
      </c>
    </row>
    <row r="58" spans="1:14" x14ac:dyDescent="0.3">
      <c r="A58" t="s">
        <v>261</v>
      </c>
      <c r="B58" t="s">
        <v>18</v>
      </c>
      <c r="C58" s="24">
        <v>45454</v>
      </c>
      <c r="D58" t="s">
        <v>20</v>
      </c>
      <c r="E58" t="s">
        <v>507</v>
      </c>
      <c r="F58">
        <v>1869</v>
      </c>
      <c r="G58">
        <v>453</v>
      </c>
      <c r="H58">
        <v>490</v>
      </c>
      <c r="I58">
        <v>14952</v>
      </c>
      <c r="J58">
        <v>14309</v>
      </c>
      <c r="K58">
        <v>275</v>
      </c>
      <c r="L58" t="s">
        <v>498</v>
      </c>
      <c r="M58" t="s">
        <v>506</v>
      </c>
      <c r="N58">
        <f>SUM(F58:H58)/I58</f>
        <v>0.18806848582129482</v>
      </c>
    </row>
    <row r="59" spans="1:14" x14ac:dyDescent="0.3">
      <c r="A59" t="s">
        <v>194</v>
      </c>
      <c r="B59" t="s">
        <v>23</v>
      </c>
      <c r="C59" s="24">
        <v>45491</v>
      </c>
      <c r="D59" t="s">
        <v>20</v>
      </c>
      <c r="E59" t="s">
        <v>508</v>
      </c>
      <c r="F59">
        <v>2120</v>
      </c>
      <c r="G59">
        <v>38</v>
      </c>
      <c r="H59">
        <v>212</v>
      </c>
      <c r="I59">
        <v>12720</v>
      </c>
      <c r="J59">
        <v>12564</v>
      </c>
      <c r="K59">
        <v>21</v>
      </c>
      <c r="L59" t="s">
        <v>494</v>
      </c>
      <c r="M59" t="s">
        <v>506</v>
      </c>
      <c r="N59">
        <f>SUM(F59:H59)/I59</f>
        <v>0.18632075471698112</v>
      </c>
    </row>
    <row r="60" spans="1:14" x14ac:dyDescent="0.3">
      <c r="A60" t="s">
        <v>301</v>
      </c>
      <c r="B60" t="s">
        <v>18</v>
      </c>
      <c r="C60" s="24">
        <v>45480</v>
      </c>
      <c r="D60" t="s">
        <v>53</v>
      </c>
      <c r="E60" t="s">
        <v>512</v>
      </c>
      <c r="F60">
        <v>4767</v>
      </c>
      <c r="G60">
        <v>190</v>
      </c>
      <c r="H60">
        <v>340</v>
      </c>
      <c r="I60">
        <v>28602</v>
      </c>
      <c r="J60">
        <v>28044</v>
      </c>
      <c r="K60">
        <v>210</v>
      </c>
      <c r="L60" t="s">
        <v>505</v>
      </c>
      <c r="M60" t="s">
        <v>503</v>
      </c>
      <c r="N60">
        <f>SUM(F60:H60)/I60</f>
        <v>0.18519683938186141</v>
      </c>
    </row>
    <row r="61" spans="1:14" x14ac:dyDescent="0.3">
      <c r="A61" t="s">
        <v>295</v>
      </c>
      <c r="B61" t="s">
        <v>38</v>
      </c>
      <c r="C61" s="24">
        <v>45724</v>
      </c>
      <c r="D61" t="s">
        <v>53</v>
      </c>
      <c r="E61" t="s">
        <v>516</v>
      </c>
      <c r="F61">
        <v>456</v>
      </c>
      <c r="G61">
        <v>629</v>
      </c>
      <c r="H61">
        <v>428</v>
      </c>
      <c r="I61">
        <v>8208</v>
      </c>
      <c r="J61">
        <v>7377</v>
      </c>
      <c r="K61">
        <v>205</v>
      </c>
      <c r="L61" t="s">
        <v>494</v>
      </c>
      <c r="M61" t="s">
        <v>506</v>
      </c>
      <c r="N61">
        <f>SUM(F61:H61)/I61</f>
        <v>0.18433235867446393</v>
      </c>
    </row>
    <row r="62" spans="1:14" x14ac:dyDescent="0.3">
      <c r="A62" t="s">
        <v>17</v>
      </c>
      <c r="B62" t="s">
        <v>18</v>
      </c>
      <c r="C62" s="24">
        <v>45596</v>
      </c>
      <c r="D62" t="s">
        <v>20</v>
      </c>
      <c r="E62" t="s">
        <v>507</v>
      </c>
      <c r="F62">
        <v>2945</v>
      </c>
      <c r="G62">
        <v>930</v>
      </c>
      <c r="H62">
        <v>355</v>
      </c>
      <c r="I62">
        <v>23560</v>
      </c>
      <c r="J62">
        <v>23275</v>
      </c>
      <c r="K62">
        <v>256</v>
      </c>
      <c r="L62" t="s">
        <v>498</v>
      </c>
      <c r="M62" t="s">
        <v>499</v>
      </c>
      <c r="N62">
        <f>SUM(F62:H62)/I62</f>
        <v>0.17954159592529711</v>
      </c>
    </row>
    <row r="63" spans="1:14" x14ac:dyDescent="0.3">
      <c r="A63" t="s">
        <v>381</v>
      </c>
      <c r="B63" t="s">
        <v>23</v>
      </c>
      <c r="C63" s="24">
        <v>45658</v>
      </c>
      <c r="D63" t="s">
        <v>14</v>
      </c>
      <c r="E63" t="s">
        <v>522</v>
      </c>
      <c r="F63">
        <v>754</v>
      </c>
      <c r="G63">
        <v>197</v>
      </c>
      <c r="H63">
        <v>257</v>
      </c>
      <c r="I63">
        <v>6786</v>
      </c>
      <c r="J63">
        <v>6221</v>
      </c>
      <c r="K63">
        <v>212</v>
      </c>
      <c r="L63" t="s">
        <v>498</v>
      </c>
      <c r="M63" t="s">
        <v>503</v>
      </c>
      <c r="N63">
        <f>SUM(F63:H63)/I63</f>
        <v>0.17801355732390214</v>
      </c>
    </row>
    <row r="64" spans="1:14" x14ac:dyDescent="0.3">
      <c r="A64" t="s">
        <v>318</v>
      </c>
      <c r="B64" t="s">
        <v>18</v>
      </c>
      <c r="C64" s="24">
        <v>45663</v>
      </c>
      <c r="D64" t="s">
        <v>20</v>
      </c>
      <c r="E64" t="s">
        <v>507</v>
      </c>
      <c r="F64">
        <v>3024</v>
      </c>
      <c r="G64">
        <v>925</v>
      </c>
      <c r="H64">
        <v>350</v>
      </c>
      <c r="I64">
        <v>24192</v>
      </c>
      <c r="J64">
        <v>23518</v>
      </c>
      <c r="K64">
        <v>36</v>
      </c>
      <c r="L64" t="s">
        <v>505</v>
      </c>
      <c r="M64" t="s">
        <v>499</v>
      </c>
      <c r="N64">
        <f>SUM(F64:H64)/I64</f>
        <v>0.17770337301587302</v>
      </c>
    </row>
    <row r="65" spans="1:14" x14ac:dyDescent="0.3">
      <c r="A65" t="s">
        <v>198</v>
      </c>
      <c r="B65" t="s">
        <v>18</v>
      </c>
      <c r="C65" s="24">
        <v>45675</v>
      </c>
      <c r="D65" t="s">
        <v>57</v>
      </c>
      <c r="E65" t="s">
        <v>514</v>
      </c>
      <c r="F65">
        <v>4321</v>
      </c>
      <c r="G65">
        <v>874</v>
      </c>
      <c r="H65">
        <v>172</v>
      </c>
      <c r="I65">
        <v>30247</v>
      </c>
      <c r="J65">
        <v>29254</v>
      </c>
      <c r="K65">
        <v>122</v>
      </c>
      <c r="L65" t="s">
        <v>498</v>
      </c>
      <c r="M65" t="s">
        <v>506</v>
      </c>
      <c r="N65">
        <f>SUM(F65:H65)/I65</f>
        <v>0.17743908486792079</v>
      </c>
    </row>
    <row r="66" spans="1:14" x14ac:dyDescent="0.3">
      <c r="A66" t="s">
        <v>322</v>
      </c>
      <c r="B66" t="s">
        <v>23</v>
      </c>
      <c r="C66" s="24">
        <v>45570</v>
      </c>
      <c r="D66" t="s">
        <v>57</v>
      </c>
      <c r="E66" t="s">
        <v>523</v>
      </c>
      <c r="F66">
        <v>1957</v>
      </c>
      <c r="G66">
        <v>877</v>
      </c>
      <c r="H66">
        <v>238</v>
      </c>
      <c r="I66">
        <v>17613</v>
      </c>
      <c r="J66">
        <v>16865</v>
      </c>
      <c r="K66">
        <v>297</v>
      </c>
      <c r="L66" t="s">
        <v>494</v>
      </c>
      <c r="M66" t="s">
        <v>503</v>
      </c>
      <c r="N66">
        <f>SUM(F66:H66)/I66</f>
        <v>0.17441662408448305</v>
      </c>
    </row>
    <row r="67" spans="1:14" x14ac:dyDescent="0.3">
      <c r="A67" t="s">
        <v>167</v>
      </c>
      <c r="B67" t="s">
        <v>23</v>
      </c>
      <c r="C67" s="24">
        <v>45494</v>
      </c>
      <c r="D67" t="s">
        <v>45</v>
      </c>
      <c r="E67" t="s">
        <v>497</v>
      </c>
      <c r="F67">
        <v>2147</v>
      </c>
      <c r="G67">
        <v>430</v>
      </c>
      <c r="H67">
        <v>393</v>
      </c>
      <c r="I67">
        <v>17176</v>
      </c>
      <c r="J67">
        <v>16483</v>
      </c>
      <c r="K67">
        <v>170</v>
      </c>
      <c r="L67" t="s">
        <v>498</v>
      </c>
      <c r="N67">
        <f>SUM(F67:H67)/I67</f>
        <v>0.17291569632044715</v>
      </c>
    </row>
    <row r="68" spans="1:14" x14ac:dyDescent="0.3">
      <c r="A68" t="s">
        <v>338</v>
      </c>
      <c r="B68" t="s">
        <v>38</v>
      </c>
      <c r="C68" s="24">
        <v>45720</v>
      </c>
      <c r="D68" t="s">
        <v>14</v>
      </c>
      <c r="E68" t="s">
        <v>517</v>
      </c>
      <c r="F68">
        <v>432</v>
      </c>
      <c r="G68">
        <v>624</v>
      </c>
      <c r="H68">
        <v>123</v>
      </c>
      <c r="I68">
        <v>6912</v>
      </c>
      <c r="J68">
        <v>6259</v>
      </c>
      <c r="K68">
        <v>79</v>
      </c>
      <c r="L68" t="s">
        <v>494</v>
      </c>
      <c r="M68" t="s">
        <v>506</v>
      </c>
      <c r="N68">
        <f>SUM(F68:H68)/I68</f>
        <v>0.17057291666666666</v>
      </c>
    </row>
    <row r="69" spans="1:14" x14ac:dyDescent="0.3">
      <c r="A69" t="s">
        <v>368</v>
      </c>
      <c r="B69" t="s">
        <v>23</v>
      </c>
      <c r="C69" s="24">
        <v>45779</v>
      </c>
      <c r="D69" t="s">
        <v>14</v>
      </c>
      <c r="E69" t="s">
        <v>522</v>
      </c>
      <c r="F69">
        <v>1108</v>
      </c>
      <c r="G69">
        <v>177</v>
      </c>
      <c r="H69">
        <v>212</v>
      </c>
      <c r="I69">
        <v>8864</v>
      </c>
      <c r="J69">
        <v>8710</v>
      </c>
      <c r="K69">
        <v>97</v>
      </c>
      <c r="L69" t="s">
        <v>498</v>
      </c>
      <c r="M69" t="s">
        <v>506</v>
      </c>
      <c r="N69">
        <f>SUM(F69:H69)/I69</f>
        <v>0.16888537906137185</v>
      </c>
    </row>
    <row r="70" spans="1:14" x14ac:dyDescent="0.3">
      <c r="A70" t="s">
        <v>277</v>
      </c>
      <c r="B70" t="s">
        <v>23</v>
      </c>
      <c r="C70" s="24">
        <v>45667</v>
      </c>
      <c r="D70" t="s">
        <v>24</v>
      </c>
      <c r="E70" t="s">
        <v>521</v>
      </c>
      <c r="F70">
        <v>2214</v>
      </c>
      <c r="G70">
        <v>249</v>
      </c>
      <c r="H70">
        <v>152</v>
      </c>
      <c r="I70">
        <v>15498</v>
      </c>
      <c r="J70">
        <v>14800</v>
      </c>
      <c r="K70">
        <v>180</v>
      </c>
      <c r="L70" t="s">
        <v>505</v>
      </c>
      <c r="N70">
        <f>SUM(F70:H70)/I70</f>
        <v>0.16873144921925409</v>
      </c>
    </row>
    <row r="71" spans="1:14" x14ac:dyDescent="0.3">
      <c r="A71" t="s">
        <v>296</v>
      </c>
      <c r="B71" t="s">
        <v>38</v>
      </c>
      <c r="C71" s="24">
        <v>45603</v>
      </c>
      <c r="D71" t="s">
        <v>24</v>
      </c>
      <c r="E71" t="s">
        <v>525</v>
      </c>
      <c r="F71">
        <v>2647</v>
      </c>
      <c r="G71">
        <v>304</v>
      </c>
      <c r="H71">
        <v>170</v>
      </c>
      <c r="I71">
        <v>18529</v>
      </c>
      <c r="J71">
        <v>17841</v>
      </c>
      <c r="K71">
        <v>46</v>
      </c>
      <c r="L71" t="s">
        <v>494</v>
      </c>
      <c r="M71" t="s">
        <v>503</v>
      </c>
      <c r="N71">
        <f>SUM(F71:H71)/I71</f>
        <v>0.16843866371633656</v>
      </c>
    </row>
    <row r="72" spans="1:14" x14ac:dyDescent="0.3">
      <c r="A72" t="s">
        <v>196</v>
      </c>
      <c r="B72" t="s">
        <v>501</v>
      </c>
      <c r="C72" s="24">
        <v>45734</v>
      </c>
      <c r="D72" t="s">
        <v>53</v>
      </c>
      <c r="E72" t="s">
        <v>502</v>
      </c>
      <c r="F72">
        <v>3704</v>
      </c>
      <c r="G72">
        <v>186</v>
      </c>
      <c r="H72">
        <v>458</v>
      </c>
      <c r="I72">
        <v>25928</v>
      </c>
      <c r="J72">
        <v>25081</v>
      </c>
      <c r="K72">
        <v>131</v>
      </c>
      <c r="L72" t="s">
        <v>498</v>
      </c>
      <c r="N72">
        <f>SUM(F72:H72)/I72</f>
        <v>0.16769515581610614</v>
      </c>
    </row>
    <row r="73" spans="1:14" x14ac:dyDescent="0.3">
      <c r="A73" t="s">
        <v>291</v>
      </c>
      <c r="B73" t="s">
        <v>23</v>
      </c>
      <c r="C73" s="24">
        <v>45512</v>
      </c>
      <c r="D73" t="s">
        <v>57</v>
      </c>
      <c r="E73" t="s">
        <v>523</v>
      </c>
      <c r="F73">
        <v>3649</v>
      </c>
      <c r="G73">
        <v>215</v>
      </c>
      <c r="H73">
        <v>413</v>
      </c>
      <c r="I73">
        <v>25543</v>
      </c>
      <c r="J73">
        <v>24963</v>
      </c>
      <c r="K73">
        <v>167</v>
      </c>
      <c r="L73" t="s">
        <v>494</v>
      </c>
      <c r="M73" t="s">
        <v>503</v>
      </c>
      <c r="N73">
        <f>SUM(F73:H73)/I73</f>
        <v>0.16744313510550835</v>
      </c>
    </row>
    <row r="74" spans="1:14" x14ac:dyDescent="0.3">
      <c r="A74" t="s">
        <v>130</v>
      </c>
      <c r="B74" t="s">
        <v>23</v>
      </c>
      <c r="C74" s="24">
        <v>45712</v>
      </c>
      <c r="D74" t="s">
        <v>20</v>
      </c>
      <c r="E74" t="s">
        <v>508</v>
      </c>
      <c r="F74">
        <v>2704</v>
      </c>
      <c r="G74">
        <v>752</v>
      </c>
      <c r="H74">
        <v>153</v>
      </c>
      <c r="I74">
        <v>21632</v>
      </c>
      <c r="J74">
        <v>20792</v>
      </c>
      <c r="K74">
        <v>127</v>
      </c>
      <c r="L74" t="s">
        <v>494</v>
      </c>
      <c r="N74">
        <f>SUM(F74:H74)/I74</f>
        <v>0.16683616863905326</v>
      </c>
    </row>
    <row r="75" spans="1:14" x14ac:dyDescent="0.3">
      <c r="A75" t="s">
        <v>243</v>
      </c>
      <c r="B75" t="s">
        <v>501</v>
      </c>
      <c r="C75" s="24">
        <v>45729</v>
      </c>
      <c r="D75" t="s">
        <v>20</v>
      </c>
      <c r="E75" t="s">
        <v>513</v>
      </c>
      <c r="F75">
        <v>1686</v>
      </c>
      <c r="G75">
        <v>904</v>
      </c>
      <c r="H75">
        <v>472</v>
      </c>
      <c r="I75">
        <v>18546</v>
      </c>
      <c r="J75">
        <v>18171</v>
      </c>
      <c r="K75">
        <v>52</v>
      </c>
      <c r="L75" t="s">
        <v>494</v>
      </c>
      <c r="M75" t="s">
        <v>499</v>
      </c>
      <c r="N75">
        <f>SUM(F75:H75)/I75</f>
        <v>0.16510298716704411</v>
      </c>
    </row>
    <row r="76" spans="1:14" x14ac:dyDescent="0.3">
      <c r="A76" t="s">
        <v>81</v>
      </c>
      <c r="B76" t="s">
        <v>38</v>
      </c>
      <c r="C76" s="24">
        <v>45685</v>
      </c>
      <c r="D76" t="s">
        <v>14</v>
      </c>
      <c r="E76" t="s">
        <v>517</v>
      </c>
      <c r="F76">
        <v>904</v>
      </c>
      <c r="G76">
        <v>973</v>
      </c>
      <c r="H76">
        <v>63</v>
      </c>
      <c r="I76">
        <v>11752</v>
      </c>
      <c r="J76">
        <v>11580</v>
      </c>
      <c r="K76">
        <v>84</v>
      </c>
      <c r="L76" t="s">
        <v>505</v>
      </c>
      <c r="M76" t="s">
        <v>503</v>
      </c>
      <c r="N76">
        <f>SUM(F76:H76)/I76</f>
        <v>0.1650782845473111</v>
      </c>
    </row>
    <row r="77" spans="1:14" x14ac:dyDescent="0.3">
      <c r="A77" t="s">
        <v>81</v>
      </c>
      <c r="B77" t="s">
        <v>38</v>
      </c>
      <c r="C77" s="24">
        <v>45685</v>
      </c>
      <c r="D77" t="s">
        <v>14</v>
      </c>
      <c r="E77" t="s">
        <v>517</v>
      </c>
      <c r="F77">
        <v>904</v>
      </c>
      <c r="G77">
        <v>973</v>
      </c>
      <c r="H77">
        <v>63</v>
      </c>
      <c r="I77">
        <v>11752</v>
      </c>
      <c r="J77">
        <v>11580</v>
      </c>
      <c r="K77">
        <v>84</v>
      </c>
      <c r="L77" t="s">
        <v>498</v>
      </c>
      <c r="M77" t="s">
        <v>503</v>
      </c>
      <c r="N77">
        <f>SUM(F77:H77)/I77</f>
        <v>0.1650782845473111</v>
      </c>
    </row>
    <row r="78" spans="1:14" x14ac:dyDescent="0.3">
      <c r="A78" t="s">
        <v>81</v>
      </c>
      <c r="B78" t="s">
        <v>38</v>
      </c>
      <c r="C78" s="24">
        <v>45685</v>
      </c>
      <c r="D78" t="s">
        <v>14</v>
      </c>
      <c r="E78" t="s">
        <v>517</v>
      </c>
      <c r="F78">
        <v>904</v>
      </c>
      <c r="G78">
        <v>973</v>
      </c>
      <c r="H78">
        <v>63</v>
      </c>
      <c r="I78">
        <v>11752</v>
      </c>
      <c r="J78">
        <v>11580</v>
      </c>
      <c r="K78">
        <v>84</v>
      </c>
      <c r="L78" t="s">
        <v>496</v>
      </c>
      <c r="M78" t="s">
        <v>503</v>
      </c>
      <c r="N78">
        <f>SUM(F78:H78)/I78</f>
        <v>0.1650782845473111</v>
      </c>
    </row>
    <row r="79" spans="1:14" x14ac:dyDescent="0.3">
      <c r="A79" t="s">
        <v>218</v>
      </c>
      <c r="B79" t="s">
        <v>501</v>
      </c>
      <c r="C79" s="24">
        <v>45580</v>
      </c>
      <c r="D79" t="s">
        <v>14</v>
      </c>
      <c r="E79" t="s">
        <v>526</v>
      </c>
      <c r="F79">
        <v>1094</v>
      </c>
      <c r="G79">
        <v>472</v>
      </c>
      <c r="H79">
        <v>21</v>
      </c>
      <c r="I79">
        <v>9846</v>
      </c>
      <c r="J79">
        <v>9609</v>
      </c>
      <c r="K79">
        <v>112</v>
      </c>
      <c r="L79" t="s">
        <v>505</v>
      </c>
      <c r="N79">
        <f>SUM(F79:H79)/I79</f>
        <v>0.16118220597196831</v>
      </c>
    </row>
    <row r="80" spans="1:14" x14ac:dyDescent="0.3">
      <c r="A80" t="s">
        <v>66</v>
      </c>
      <c r="B80" t="s">
        <v>23</v>
      </c>
      <c r="C80" s="24">
        <v>45745</v>
      </c>
      <c r="D80" t="s">
        <v>24</v>
      </c>
      <c r="E80" t="s">
        <v>521</v>
      </c>
      <c r="F80">
        <v>305</v>
      </c>
      <c r="G80">
        <v>187</v>
      </c>
      <c r="H80">
        <v>243</v>
      </c>
      <c r="I80">
        <v>4575</v>
      </c>
      <c r="J80">
        <v>3704</v>
      </c>
      <c r="K80">
        <v>234</v>
      </c>
      <c r="L80" t="s">
        <v>494</v>
      </c>
      <c r="M80" t="s">
        <v>503</v>
      </c>
      <c r="N80">
        <f>SUM(F80:H80)/I80</f>
        <v>0.16065573770491803</v>
      </c>
    </row>
    <row r="81" spans="1:14" x14ac:dyDescent="0.3">
      <c r="A81" t="s">
        <v>141</v>
      </c>
      <c r="B81" t="s">
        <v>18</v>
      </c>
      <c r="C81" s="24">
        <v>45739</v>
      </c>
      <c r="D81" t="s">
        <v>14</v>
      </c>
      <c r="E81" t="s">
        <v>515</v>
      </c>
      <c r="F81">
        <v>4453</v>
      </c>
      <c r="G81">
        <v>111</v>
      </c>
      <c r="H81">
        <v>420</v>
      </c>
      <c r="I81">
        <v>31171</v>
      </c>
      <c r="J81">
        <v>30565</v>
      </c>
      <c r="K81">
        <v>23</v>
      </c>
      <c r="L81" t="s">
        <v>498</v>
      </c>
      <c r="N81">
        <f>SUM(F81:H81)/I81</f>
        <v>0.15989220750056141</v>
      </c>
    </row>
    <row r="82" spans="1:14" x14ac:dyDescent="0.3">
      <c r="A82" t="s">
        <v>75</v>
      </c>
      <c r="B82" t="s">
        <v>18</v>
      </c>
      <c r="C82" s="24">
        <v>45775</v>
      </c>
      <c r="D82" t="s">
        <v>20</v>
      </c>
      <c r="E82" t="s">
        <v>507</v>
      </c>
      <c r="F82">
        <v>2089</v>
      </c>
      <c r="G82">
        <v>476</v>
      </c>
      <c r="H82">
        <v>69</v>
      </c>
      <c r="I82">
        <v>16712</v>
      </c>
      <c r="J82">
        <v>16309</v>
      </c>
      <c r="K82">
        <v>64</v>
      </c>
      <c r="L82" t="s">
        <v>494</v>
      </c>
      <c r="M82" t="s">
        <v>503</v>
      </c>
      <c r="N82">
        <f>SUM(F82:H82)/I82</f>
        <v>0.15761129727142173</v>
      </c>
    </row>
    <row r="83" spans="1:14" x14ac:dyDescent="0.3">
      <c r="A83" t="s">
        <v>357</v>
      </c>
      <c r="B83" t="s">
        <v>18</v>
      </c>
      <c r="C83" s="24">
        <v>45660</v>
      </c>
      <c r="D83" t="s">
        <v>24</v>
      </c>
      <c r="E83" t="s">
        <v>511</v>
      </c>
      <c r="F83">
        <v>947</v>
      </c>
      <c r="G83">
        <v>338</v>
      </c>
      <c r="H83">
        <v>350</v>
      </c>
      <c r="I83">
        <v>10417</v>
      </c>
      <c r="J83">
        <v>9730</v>
      </c>
      <c r="K83">
        <v>34</v>
      </c>
      <c r="L83" t="s">
        <v>498</v>
      </c>
      <c r="M83" t="s">
        <v>506</v>
      </c>
      <c r="N83">
        <f>SUM(F83:H83)/I83</f>
        <v>0.1569549774407219</v>
      </c>
    </row>
    <row r="84" spans="1:14" x14ac:dyDescent="0.3">
      <c r="A84" t="s">
        <v>223</v>
      </c>
      <c r="B84" t="s">
        <v>18</v>
      </c>
      <c r="C84" s="24">
        <v>45488</v>
      </c>
      <c r="D84" t="s">
        <v>24</v>
      </c>
      <c r="E84" t="s">
        <v>511</v>
      </c>
      <c r="F84">
        <v>2291</v>
      </c>
      <c r="G84">
        <v>78</v>
      </c>
      <c r="H84">
        <v>485</v>
      </c>
      <c r="I84">
        <v>18328</v>
      </c>
      <c r="J84">
        <v>18101</v>
      </c>
      <c r="K84">
        <v>10</v>
      </c>
      <c r="L84" t="s">
        <v>505</v>
      </c>
      <c r="M84" t="s">
        <v>499</v>
      </c>
      <c r="N84">
        <f>SUM(F84:H84)/I84</f>
        <v>0.15571802706241816</v>
      </c>
    </row>
    <row r="85" spans="1:14" x14ac:dyDescent="0.3">
      <c r="A85" t="s">
        <v>223</v>
      </c>
      <c r="B85" t="s">
        <v>18</v>
      </c>
      <c r="C85" s="24">
        <v>45488</v>
      </c>
      <c r="D85" t="s">
        <v>24</v>
      </c>
      <c r="E85" t="s">
        <v>511</v>
      </c>
      <c r="F85">
        <v>2291</v>
      </c>
      <c r="G85">
        <v>78</v>
      </c>
      <c r="H85">
        <v>485</v>
      </c>
      <c r="I85">
        <v>18328</v>
      </c>
      <c r="J85">
        <v>18101</v>
      </c>
      <c r="K85">
        <v>10</v>
      </c>
      <c r="L85" t="s">
        <v>527</v>
      </c>
      <c r="M85" t="s">
        <v>499</v>
      </c>
      <c r="N85">
        <f>SUM(F85:H85)/I85</f>
        <v>0.15571802706241816</v>
      </c>
    </row>
    <row r="86" spans="1:14" x14ac:dyDescent="0.3">
      <c r="A86" t="s">
        <v>256</v>
      </c>
      <c r="B86" t="s">
        <v>23</v>
      </c>
      <c r="C86" s="24">
        <v>45637</v>
      </c>
      <c r="D86" t="s">
        <v>45</v>
      </c>
      <c r="E86" t="s">
        <v>497</v>
      </c>
      <c r="F86">
        <v>3239</v>
      </c>
      <c r="G86">
        <v>43</v>
      </c>
      <c r="H86">
        <v>211</v>
      </c>
      <c r="I86">
        <v>22673</v>
      </c>
      <c r="J86">
        <v>22171</v>
      </c>
      <c r="K86">
        <v>230</v>
      </c>
      <c r="L86" t="s">
        <v>498</v>
      </c>
      <c r="M86" t="s">
        <v>499</v>
      </c>
      <c r="N86">
        <f>SUM(F86:H86)/I86</f>
        <v>0.15405989502933004</v>
      </c>
    </row>
    <row r="87" spans="1:14" x14ac:dyDescent="0.3">
      <c r="A87" t="s">
        <v>90</v>
      </c>
      <c r="B87" t="s">
        <v>501</v>
      </c>
      <c r="C87" s="24">
        <v>45715</v>
      </c>
      <c r="D87" t="s">
        <v>45</v>
      </c>
      <c r="E87" t="s">
        <v>519</v>
      </c>
      <c r="F87">
        <v>4934</v>
      </c>
      <c r="G87">
        <v>971</v>
      </c>
      <c r="H87">
        <v>156</v>
      </c>
      <c r="I87">
        <v>39472</v>
      </c>
      <c r="J87">
        <v>39025</v>
      </c>
      <c r="K87">
        <v>169</v>
      </c>
      <c r="L87" t="s">
        <v>498</v>
      </c>
      <c r="M87" t="s">
        <v>506</v>
      </c>
      <c r="N87">
        <f>SUM(F87:H87)/I87</f>
        <v>0.15355188488042157</v>
      </c>
    </row>
    <row r="88" spans="1:14" x14ac:dyDescent="0.3">
      <c r="A88" t="s">
        <v>90</v>
      </c>
      <c r="B88" t="s">
        <v>501</v>
      </c>
      <c r="C88" s="24">
        <v>45715</v>
      </c>
      <c r="D88" t="s">
        <v>45</v>
      </c>
      <c r="E88" t="s">
        <v>519</v>
      </c>
      <c r="F88">
        <v>4934</v>
      </c>
      <c r="G88">
        <v>971</v>
      </c>
      <c r="H88">
        <v>156</v>
      </c>
      <c r="I88">
        <v>39472</v>
      </c>
      <c r="J88">
        <v>39025</v>
      </c>
      <c r="K88">
        <v>169</v>
      </c>
      <c r="L88" t="s">
        <v>496</v>
      </c>
      <c r="M88" t="s">
        <v>506</v>
      </c>
      <c r="N88">
        <f>SUM(F88:H88)/I88</f>
        <v>0.15355188488042157</v>
      </c>
    </row>
    <row r="89" spans="1:14" x14ac:dyDescent="0.3">
      <c r="A89" t="s">
        <v>197</v>
      </c>
      <c r="B89" t="s">
        <v>501</v>
      </c>
      <c r="C89" s="24">
        <v>45675</v>
      </c>
      <c r="D89" t="s">
        <v>24</v>
      </c>
      <c r="E89" t="s">
        <v>509</v>
      </c>
      <c r="F89">
        <v>1206</v>
      </c>
      <c r="G89">
        <v>238</v>
      </c>
      <c r="H89">
        <v>36</v>
      </c>
      <c r="I89">
        <v>9648</v>
      </c>
      <c r="J89">
        <v>9417</v>
      </c>
      <c r="K89">
        <v>237</v>
      </c>
      <c r="L89" t="s">
        <v>498</v>
      </c>
      <c r="N89">
        <f>SUM(F89:H89)/I89</f>
        <v>0.15339966832504145</v>
      </c>
    </row>
    <row r="90" spans="1:14" x14ac:dyDescent="0.3">
      <c r="A90" t="s">
        <v>161</v>
      </c>
      <c r="B90" t="s">
        <v>38</v>
      </c>
      <c r="C90" s="24">
        <v>45586</v>
      </c>
      <c r="D90" t="s">
        <v>53</v>
      </c>
      <c r="E90" t="s">
        <v>516</v>
      </c>
      <c r="F90">
        <v>3256</v>
      </c>
      <c r="G90">
        <v>459</v>
      </c>
      <c r="H90">
        <v>266</v>
      </c>
      <c r="I90">
        <v>26048</v>
      </c>
      <c r="J90">
        <v>25529</v>
      </c>
      <c r="K90">
        <v>143</v>
      </c>
      <c r="L90" t="s">
        <v>498</v>
      </c>
      <c r="M90" t="s">
        <v>499</v>
      </c>
      <c r="N90">
        <f>SUM(F90:H90)/I90</f>
        <v>0.15283323095823095</v>
      </c>
    </row>
    <row r="91" spans="1:14" x14ac:dyDescent="0.3">
      <c r="A91" t="s">
        <v>247</v>
      </c>
      <c r="B91" t="s">
        <v>38</v>
      </c>
      <c r="C91" s="24">
        <v>45516</v>
      </c>
      <c r="D91" t="s">
        <v>57</v>
      </c>
      <c r="E91" t="s">
        <v>504</v>
      </c>
      <c r="F91">
        <v>2404</v>
      </c>
      <c r="G91">
        <v>363</v>
      </c>
      <c r="H91">
        <v>138</v>
      </c>
      <c r="I91">
        <v>19232</v>
      </c>
      <c r="J91">
        <v>18636</v>
      </c>
      <c r="K91">
        <v>128</v>
      </c>
      <c r="L91" t="s">
        <v>505</v>
      </c>
      <c r="M91" t="s">
        <v>506</v>
      </c>
      <c r="N91">
        <f>SUM(F91:H91)/I91</f>
        <v>0.15105033277870217</v>
      </c>
    </row>
    <row r="92" spans="1:14" x14ac:dyDescent="0.3">
      <c r="A92" t="s">
        <v>216</v>
      </c>
      <c r="B92" t="s">
        <v>18</v>
      </c>
      <c r="C92" s="24">
        <v>45704</v>
      </c>
      <c r="D92" t="s">
        <v>57</v>
      </c>
      <c r="E92" t="s">
        <v>514</v>
      </c>
      <c r="F92">
        <v>4242</v>
      </c>
      <c r="G92">
        <v>555</v>
      </c>
      <c r="H92">
        <v>131</v>
      </c>
      <c r="I92">
        <v>33936</v>
      </c>
      <c r="J92">
        <v>33802</v>
      </c>
      <c r="K92">
        <v>265</v>
      </c>
      <c r="L92" t="s">
        <v>494</v>
      </c>
      <c r="N92">
        <f>SUM(F92:H92)/I92</f>
        <v>0.14521452145214522</v>
      </c>
    </row>
    <row r="93" spans="1:14" x14ac:dyDescent="0.3">
      <c r="A93" t="s">
        <v>49</v>
      </c>
      <c r="B93" t="s">
        <v>38</v>
      </c>
      <c r="C93" s="24">
        <v>45625</v>
      </c>
      <c r="D93" t="s">
        <v>14</v>
      </c>
      <c r="E93" t="s">
        <v>517</v>
      </c>
      <c r="F93">
        <v>1176</v>
      </c>
      <c r="G93">
        <v>464</v>
      </c>
      <c r="H93">
        <v>394</v>
      </c>
      <c r="I93">
        <v>14112</v>
      </c>
      <c r="J93">
        <v>13588</v>
      </c>
      <c r="K93">
        <v>272</v>
      </c>
      <c r="L93" t="s">
        <v>505</v>
      </c>
      <c r="N93">
        <f>SUM(F93:H93)/I93</f>
        <v>0.1441326530612245</v>
      </c>
    </row>
    <row r="94" spans="1:14" x14ac:dyDescent="0.3">
      <c r="A94" t="s">
        <v>320</v>
      </c>
      <c r="B94" t="s">
        <v>23</v>
      </c>
      <c r="C94" s="24">
        <v>45631</v>
      </c>
      <c r="D94" t="s">
        <v>14</v>
      </c>
      <c r="E94" t="s">
        <v>522</v>
      </c>
      <c r="F94">
        <v>1330</v>
      </c>
      <c r="G94">
        <v>925</v>
      </c>
      <c r="H94">
        <v>35</v>
      </c>
      <c r="I94">
        <v>15960</v>
      </c>
      <c r="J94">
        <v>15379</v>
      </c>
      <c r="K94">
        <v>229</v>
      </c>
      <c r="L94" t="s">
        <v>494</v>
      </c>
      <c r="M94" t="s">
        <v>503</v>
      </c>
      <c r="N94">
        <f>SUM(F94:H94)/I94</f>
        <v>0.14348370927318296</v>
      </c>
    </row>
    <row r="95" spans="1:14" x14ac:dyDescent="0.3">
      <c r="A95" t="s">
        <v>217</v>
      </c>
      <c r="B95" t="s">
        <v>23</v>
      </c>
      <c r="C95" s="24">
        <v>45704</v>
      </c>
      <c r="D95" t="s">
        <v>53</v>
      </c>
      <c r="E95" t="s">
        <v>493</v>
      </c>
      <c r="F95">
        <v>1076</v>
      </c>
      <c r="G95">
        <v>313</v>
      </c>
      <c r="H95">
        <v>306</v>
      </c>
      <c r="I95">
        <v>11836</v>
      </c>
      <c r="J95">
        <v>11596</v>
      </c>
      <c r="K95">
        <v>104</v>
      </c>
      <c r="L95" t="s">
        <v>494</v>
      </c>
      <c r="M95" t="s">
        <v>495</v>
      </c>
      <c r="N95">
        <f>SUM(F95:H95)/I95</f>
        <v>0.14320716458262928</v>
      </c>
    </row>
    <row r="96" spans="1:14" x14ac:dyDescent="0.3">
      <c r="A96" t="s">
        <v>48</v>
      </c>
      <c r="B96" t="s">
        <v>23</v>
      </c>
      <c r="C96" s="24">
        <v>45655</v>
      </c>
      <c r="D96" t="s">
        <v>20</v>
      </c>
      <c r="E96" t="s">
        <v>508</v>
      </c>
      <c r="F96">
        <v>4274</v>
      </c>
      <c r="G96">
        <v>340</v>
      </c>
      <c r="H96">
        <v>281</v>
      </c>
      <c r="I96">
        <v>34192</v>
      </c>
      <c r="J96">
        <v>33446</v>
      </c>
      <c r="K96">
        <v>129</v>
      </c>
      <c r="L96" t="s">
        <v>498</v>
      </c>
      <c r="M96" t="s">
        <v>503</v>
      </c>
      <c r="N96">
        <f>SUM(F96:H96)/I96</f>
        <v>0.14316214319138981</v>
      </c>
    </row>
    <row r="97" spans="1:14" x14ac:dyDescent="0.3">
      <c r="A97" t="s">
        <v>48</v>
      </c>
      <c r="B97" t="s">
        <v>23</v>
      </c>
      <c r="C97" s="24">
        <v>45655</v>
      </c>
      <c r="D97" t="s">
        <v>20</v>
      </c>
      <c r="E97" t="s">
        <v>508</v>
      </c>
      <c r="F97">
        <v>4274</v>
      </c>
      <c r="G97">
        <v>340</v>
      </c>
      <c r="H97">
        <v>281</v>
      </c>
      <c r="I97">
        <v>34192</v>
      </c>
      <c r="J97">
        <v>33446</v>
      </c>
      <c r="K97">
        <v>129</v>
      </c>
      <c r="L97" t="s">
        <v>527</v>
      </c>
      <c r="M97" t="s">
        <v>503</v>
      </c>
      <c r="N97">
        <f>SUM(F97:H97)/I97</f>
        <v>0.14316214319138981</v>
      </c>
    </row>
    <row r="98" spans="1:14" x14ac:dyDescent="0.3">
      <c r="A98" t="s">
        <v>323</v>
      </c>
      <c r="B98" t="s">
        <v>23</v>
      </c>
      <c r="C98" s="24">
        <v>45540</v>
      </c>
      <c r="D98" t="s">
        <v>14</v>
      </c>
      <c r="E98" t="s">
        <v>522</v>
      </c>
      <c r="F98">
        <v>4886</v>
      </c>
      <c r="G98">
        <v>983</v>
      </c>
      <c r="H98">
        <v>409</v>
      </c>
      <c r="I98">
        <v>43974</v>
      </c>
      <c r="J98">
        <v>43239</v>
      </c>
      <c r="K98">
        <v>65</v>
      </c>
      <c r="L98" t="s">
        <v>498</v>
      </c>
      <c r="M98" t="s">
        <v>495</v>
      </c>
      <c r="N98">
        <f>SUM(F98:H98)/I98</f>
        <v>0.14276618001546368</v>
      </c>
    </row>
    <row r="99" spans="1:14" x14ac:dyDescent="0.3">
      <c r="A99" t="s">
        <v>290</v>
      </c>
      <c r="B99" t="s">
        <v>23</v>
      </c>
      <c r="C99" s="24">
        <v>45543</v>
      </c>
      <c r="D99" t="s">
        <v>20</v>
      </c>
      <c r="E99" t="s">
        <v>508</v>
      </c>
      <c r="F99">
        <v>3811</v>
      </c>
      <c r="G99">
        <v>866</v>
      </c>
      <c r="H99">
        <v>216</v>
      </c>
      <c r="I99">
        <v>34299</v>
      </c>
      <c r="J99">
        <v>34088</v>
      </c>
      <c r="K99">
        <v>233</v>
      </c>
      <c r="L99" t="s">
        <v>498</v>
      </c>
      <c r="M99" t="s">
        <v>506</v>
      </c>
      <c r="N99">
        <f>SUM(F99:H99)/I99</f>
        <v>0.14265722032712325</v>
      </c>
    </row>
    <row r="100" spans="1:14" x14ac:dyDescent="0.3">
      <c r="A100" t="s">
        <v>305</v>
      </c>
      <c r="B100" t="s">
        <v>23</v>
      </c>
      <c r="C100" s="24">
        <v>45723</v>
      </c>
      <c r="D100" t="s">
        <v>24</v>
      </c>
      <c r="E100" t="s">
        <v>521</v>
      </c>
      <c r="F100">
        <v>4750</v>
      </c>
      <c r="G100">
        <v>151</v>
      </c>
      <c r="H100">
        <v>415</v>
      </c>
      <c r="I100">
        <v>38000</v>
      </c>
      <c r="J100">
        <v>37792</v>
      </c>
      <c r="K100">
        <v>299</v>
      </c>
      <c r="L100" t="s">
        <v>505</v>
      </c>
      <c r="M100" t="s">
        <v>506</v>
      </c>
      <c r="N100">
        <f>SUM(F100:H100)/I100</f>
        <v>0.13989473684210527</v>
      </c>
    </row>
    <row r="101" spans="1:14" x14ac:dyDescent="0.3">
      <c r="A101" t="s">
        <v>151</v>
      </c>
      <c r="B101" t="s">
        <v>18</v>
      </c>
      <c r="C101" s="24">
        <v>45465</v>
      </c>
      <c r="D101" t="s">
        <v>45</v>
      </c>
      <c r="E101" t="s">
        <v>510</v>
      </c>
      <c r="F101">
        <v>3828</v>
      </c>
      <c r="G101">
        <v>148</v>
      </c>
      <c r="H101">
        <v>253</v>
      </c>
      <c r="I101">
        <v>30624</v>
      </c>
      <c r="J101">
        <v>30229</v>
      </c>
      <c r="K101">
        <v>235</v>
      </c>
      <c r="L101" t="s">
        <v>505</v>
      </c>
      <c r="N101">
        <f>SUM(F101:H101)/I101</f>
        <v>0.13809430512016718</v>
      </c>
    </row>
    <row r="102" spans="1:14" x14ac:dyDescent="0.3">
      <c r="A102" t="s">
        <v>142</v>
      </c>
      <c r="B102" t="s">
        <v>501</v>
      </c>
      <c r="C102" s="24">
        <v>45739</v>
      </c>
      <c r="D102" t="s">
        <v>57</v>
      </c>
      <c r="E102" t="s">
        <v>524</v>
      </c>
      <c r="F102">
        <v>3655</v>
      </c>
      <c r="G102">
        <v>568</v>
      </c>
      <c r="H102">
        <v>286</v>
      </c>
      <c r="I102">
        <v>32895</v>
      </c>
      <c r="J102">
        <v>32015</v>
      </c>
      <c r="K102">
        <v>199</v>
      </c>
      <c r="L102" t="s">
        <v>498</v>
      </c>
      <c r="M102" t="s">
        <v>503</v>
      </c>
      <c r="N102">
        <f>SUM(F102:H102)/I102</f>
        <v>0.13707250341997265</v>
      </c>
    </row>
    <row r="103" spans="1:14" x14ac:dyDescent="0.3">
      <c r="A103" t="s">
        <v>219</v>
      </c>
      <c r="B103" t="s">
        <v>38</v>
      </c>
      <c r="C103" s="24">
        <v>45519</v>
      </c>
      <c r="D103" t="s">
        <v>20</v>
      </c>
      <c r="E103" t="s">
        <v>518</v>
      </c>
      <c r="F103">
        <v>914</v>
      </c>
      <c r="G103">
        <v>464</v>
      </c>
      <c r="H103">
        <v>246</v>
      </c>
      <c r="I103">
        <v>11882</v>
      </c>
      <c r="J103">
        <v>11500</v>
      </c>
      <c r="K103">
        <v>282</v>
      </c>
      <c r="L103" t="s">
        <v>494</v>
      </c>
      <c r="M103" t="s">
        <v>506</v>
      </c>
      <c r="N103">
        <f>SUM(F103:H103)/I103</f>
        <v>0.13667732704931829</v>
      </c>
    </row>
    <row r="104" spans="1:14" x14ac:dyDescent="0.3">
      <c r="A104" t="s">
        <v>219</v>
      </c>
      <c r="B104" t="s">
        <v>38</v>
      </c>
      <c r="C104" s="24">
        <v>45519</v>
      </c>
      <c r="D104" t="s">
        <v>20</v>
      </c>
      <c r="E104" t="s">
        <v>518</v>
      </c>
      <c r="F104">
        <v>914</v>
      </c>
      <c r="G104">
        <v>464</v>
      </c>
      <c r="H104">
        <v>246</v>
      </c>
      <c r="I104">
        <v>11882</v>
      </c>
      <c r="J104">
        <v>11500</v>
      </c>
      <c r="K104">
        <v>282</v>
      </c>
      <c r="L104" t="s">
        <v>498</v>
      </c>
      <c r="M104" t="s">
        <v>506</v>
      </c>
      <c r="N104">
        <f>SUM(F104:H104)/I104</f>
        <v>0.13667732704931829</v>
      </c>
    </row>
    <row r="105" spans="1:14" x14ac:dyDescent="0.3">
      <c r="A105" t="s">
        <v>219</v>
      </c>
      <c r="B105" t="s">
        <v>38</v>
      </c>
      <c r="C105" s="24">
        <v>45519</v>
      </c>
      <c r="D105" t="s">
        <v>20</v>
      </c>
      <c r="E105" t="s">
        <v>518</v>
      </c>
      <c r="F105">
        <v>914</v>
      </c>
      <c r="G105">
        <v>464</v>
      </c>
      <c r="H105">
        <v>246</v>
      </c>
      <c r="I105">
        <v>11882</v>
      </c>
      <c r="J105">
        <v>11500</v>
      </c>
      <c r="K105">
        <v>282</v>
      </c>
      <c r="L105" t="s">
        <v>496</v>
      </c>
      <c r="M105" t="s">
        <v>506</v>
      </c>
      <c r="N105">
        <f>SUM(F105:H105)/I105</f>
        <v>0.13667732704931829</v>
      </c>
    </row>
    <row r="106" spans="1:14" x14ac:dyDescent="0.3">
      <c r="A106" t="s">
        <v>74</v>
      </c>
      <c r="B106" t="s">
        <v>23</v>
      </c>
      <c r="C106" s="24">
        <v>45501</v>
      </c>
      <c r="D106" t="s">
        <v>24</v>
      </c>
      <c r="E106" t="s">
        <v>521</v>
      </c>
      <c r="F106">
        <v>3215</v>
      </c>
      <c r="G106">
        <v>960</v>
      </c>
      <c r="H106">
        <v>202</v>
      </c>
      <c r="I106">
        <v>32150</v>
      </c>
      <c r="J106">
        <v>31404</v>
      </c>
      <c r="K106">
        <v>251</v>
      </c>
      <c r="L106" t="s">
        <v>505</v>
      </c>
      <c r="M106" t="s">
        <v>495</v>
      </c>
      <c r="N106">
        <f>SUM(F106:H106)/I106</f>
        <v>0.13614307931570763</v>
      </c>
    </row>
    <row r="107" spans="1:14" x14ac:dyDescent="0.3">
      <c r="A107" t="s">
        <v>163</v>
      </c>
      <c r="B107" t="s">
        <v>23</v>
      </c>
      <c r="C107" s="24">
        <v>45586</v>
      </c>
      <c r="D107" t="s">
        <v>57</v>
      </c>
      <c r="E107" t="s">
        <v>523</v>
      </c>
      <c r="F107">
        <v>3801</v>
      </c>
      <c r="G107">
        <v>967</v>
      </c>
      <c r="H107">
        <v>401</v>
      </c>
      <c r="I107">
        <v>38010</v>
      </c>
      <c r="J107">
        <v>37625</v>
      </c>
      <c r="K107">
        <v>236</v>
      </c>
      <c r="L107" t="s">
        <v>494</v>
      </c>
      <c r="M107" t="s">
        <v>503</v>
      </c>
      <c r="N107">
        <f>SUM(F107:H107)/I107</f>
        <v>0.13599052880820836</v>
      </c>
    </row>
    <row r="108" spans="1:14" x14ac:dyDescent="0.3">
      <c r="A108" t="s">
        <v>300</v>
      </c>
      <c r="B108" t="s">
        <v>18</v>
      </c>
      <c r="C108" s="24">
        <v>45480</v>
      </c>
      <c r="D108" t="s">
        <v>57</v>
      </c>
      <c r="E108" t="s">
        <v>514</v>
      </c>
      <c r="F108">
        <v>302</v>
      </c>
      <c r="G108">
        <v>47</v>
      </c>
      <c r="H108">
        <v>430</v>
      </c>
      <c r="I108">
        <v>5738</v>
      </c>
      <c r="J108">
        <v>4890</v>
      </c>
      <c r="K108">
        <v>25</v>
      </c>
      <c r="L108" t="s">
        <v>498</v>
      </c>
      <c r="M108" t="s">
        <v>506</v>
      </c>
      <c r="N108">
        <f>SUM(F108:H108)/I108</f>
        <v>0.13576158940397351</v>
      </c>
    </row>
    <row r="109" spans="1:14" x14ac:dyDescent="0.3">
      <c r="A109" t="s">
        <v>349</v>
      </c>
      <c r="B109" t="s">
        <v>501</v>
      </c>
      <c r="C109" s="24">
        <v>45476</v>
      </c>
      <c r="D109" t="s">
        <v>57</v>
      </c>
      <c r="E109" t="s">
        <v>524</v>
      </c>
      <c r="F109">
        <v>2754</v>
      </c>
      <c r="G109">
        <v>130</v>
      </c>
      <c r="H109">
        <v>90</v>
      </c>
      <c r="I109">
        <v>22032</v>
      </c>
      <c r="J109">
        <v>21288</v>
      </c>
      <c r="K109">
        <v>112</v>
      </c>
      <c r="L109" t="s">
        <v>498</v>
      </c>
      <c r="M109" t="s">
        <v>503</v>
      </c>
      <c r="N109">
        <f>SUM(F109:H109)/I109</f>
        <v>0.13498547567175018</v>
      </c>
    </row>
    <row r="110" spans="1:14" x14ac:dyDescent="0.3">
      <c r="A110" t="s">
        <v>337</v>
      </c>
      <c r="B110" t="s">
        <v>38</v>
      </c>
      <c r="C110" s="24">
        <v>45720</v>
      </c>
      <c r="D110" t="s">
        <v>57</v>
      </c>
      <c r="E110" t="s">
        <v>504</v>
      </c>
      <c r="F110">
        <v>1947</v>
      </c>
      <c r="G110">
        <v>842</v>
      </c>
      <c r="H110">
        <v>101</v>
      </c>
      <c r="I110">
        <v>21417</v>
      </c>
      <c r="J110">
        <v>20967</v>
      </c>
      <c r="K110">
        <v>186</v>
      </c>
      <c r="L110" t="s">
        <v>494</v>
      </c>
      <c r="M110" t="s">
        <v>499</v>
      </c>
      <c r="N110">
        <f>SUM(F110:H110)/I110</f>
        <v>0.13493953401503478</v>
      </c>
    </row>
    <row r="111" spans="1:14" x14ac:dyDescent="0.3">
      <c r="A111" t="s">
        <v>348</v>
      </c>
      <c r="B111" t="s">
        <v>38</v>
      </c>
      <c r="C111" s="24">
        <v>45476</v>
      </c>
      <c r="D111" t="s">
        <v>20</v>
      </c>
      <c r="E111" t="s">
        <v>518</v>
      </c>
      <c r="F111">
        <v>4799</v>
      </c>
      <c r="G111">
        <v>694</v>
      </c>
      <c r="H111">
        <v>289</v>
      </c>
      <c r="I111">
        <v>43191</v>
      </c>
      <c r="J111">
        <v>42228</v>
      </c>
      <c r="K111">
        <v>118</v>
      </c>
      <c r="L111" t="s">
        <v>498</v>
      </c>
      <c r="N111">
        <f>SUM(F111:H111)/I111</f>
        <v>0.13387048227640017</v>
      </c>
    </row>
    <row r="112" spans="1:14" x14ac:dyDescent="0.3">
      <c r="A112" t="s">
        <v>71</v>
      </c>
      <c r="B112" t="s">
        <v>501</v>
      </c>
      <c r="C112" s="24">
        <v>45593</v>
      </c>
      <c r="D112" t="s">
        <v>53</v>
      </c>
      <c r="E112" t="s">
        <v>502</v>
      </c>
      <c r="F112">
        <v>1855</v>
      </c>
      <c r="G112">
        <v>200</v>
      </c>
      <c r="H112">
        <v>174</v>
      </c>
      <c r="I112">
        <v>16695</v>
      </c>
      <c r="J112">
        <v>16330</v>
      </c>
      <c r="K112">
        <v>123</v>
      </c>
      <c r="L112" t="s">
        <v>498</v>
      </c>
      <c r="M112" t="s">
        <v>503</v>
      </c>
      <c r="N112">
        <f>SUM(F112:H112)/I112</f>
        <v>0.13351302785265048</v>
      </c>
    </row>
    <row r="113" spans="1:14" x14ac:dyDescent="0.3">
      <c r="A113" t="s">
        <v>236</v>
      </c>
      <c r="B113" t="s">
        <v>23</v>
      </c>
      <c r="C113" s="24">
        <v>45671</v>
      </c>
      <c r="D113" t="s">
        <v>24</v>
      </c>
      <c r="E113" t="s">
        <v>521</v>
      </c>
      <c r="F113">
        <v>2692</v>
      </c>
      <c r="G113">
        <v>115</v>
      </c>
      <c r="H113">
        <v>64</v>
      </c>
      <c r="I113">
        <v>21536</v>
      </c>
      <c r="J113">
        <v>21120</v>
      </c>
      <c r="K113">
        <v>224</v>
      </c>
      <c r="L113" t="s">
        <v>494</v>
      </c>
      <c r="M113" t="s">
        <v>499</v>
      </c>
      <c r="N113">
        <f>SUM(F113:H113)/I113</f>
        <v>0.13331166419019316</v>
      </c>
    </row>
    <row r="114" spans="1:14" x14ac:dyDescent="0.3">
      <c r="A114" t="s">
        <v>164</v>
      </c>
      <c r="B114" t="s">
        <v>38</v>
      </c>
      <c r="C114" s="24">
        <v>45586</v>
      </c>
      <c r="D114" t="s">
        <v>53</v>
      </c>
      <c r="E114" t="s">
        <v>516</v>
      </c>
      <c r="F114">
        <v>4840</v>
      </c>
      <c r="G114">
        <v>658</v>
      </c>
      <c r="H114">
        <v>211</v>
      </c>
      <c r="I114">
        <v>43560</v>
      </c>
      <c r="J114">
        <v>43225</v>
      </c>
      <c r="K114">
        <v>57</v>
      </c>
      <c r="L114" t="s">
        <v>494</v>
      </c>
      <c r="M114" t="s">
        <v>503</v>
      </c>
      <c r="N114">
        <f>SUM(F114:H114)/I114</f>
        <v>0.13106060606060607</v>
      </c>
    </row>
    <row r="115" spans="1:14" x14ac:dyDescent="0.3">
      <c r="A115" t="s">
        <v>177</v>
      </c>
      <c r="B115" t="s">
        <v>18</v>
      </c>
      <c r="C115" s="24">
        <v>45523</v>
      </c>
      <c r="D115" t="s">
        <v>45</v>
      </c>
      <c r="E115" t="s">
        <v>510</v>
      </c>
      <c r="F115">
        <v>1257</v>
      </c>
      <c r="G115">
        <v>19</v>
      </c>
      <c r="H115">
        <v>351</v>
      </c>
      <c r="I115">
        <v>12570</v>
      </c>
      <c r="J115">
        <v>11660</v>
      </c>
      <c r="K115">
        <v>194</v>
      </c>
      <c r="L115" t="s">
        <v>494</v>
      </c>
      <c r="M115" t="s">
        <v>499</v>
      </c>
      <c r="N115">
        <f>SUM(F115:H115)/I115</f>
        <v>0.12943516308671441</v>
      </c>
    </row>
    <row r="116" spans="1:14" x14ac:dyDescent="0.3">
      <c r="A116" t="s">
        <v>177</v>
      </c>
      <c r="B116" t="s">
        <v>18</v>
      </c>
      <c r="C116" s="24">
        <v>45523</v>
      </c>
      <c r="D116" t="s">
        <v>45</v>
      </c>
      <c r="E116" t="s">
        <v>510</v>
      </c>
      <c r="F116">
        <v>1257</v>
      </c>
      <c r="G116">
        <v>19</v>
      </c>
      <c r="H116">
        <v>351</v>
      </c>
      <c r="I116">
        <v>12570</v>
      </c>
      <c r="J116">
        <v>11660</v>
      </c>
      <c r="K116">
        <v>194</v>
      </c>
      <c r="L116" t="s">
        <v>496</v>
      </c>
      <c r="M116" t="s">
        <v>499</v>
      </c>
      <c r="N116">
        <f>SUM(F116:H116)/I116</f>
        <v>0.12943516308671441</v>
      </c>
    </row>
    <row r="117" spans="1:14" x14ac:dyDescent="0.3">
      <c r="A117" t="s">
        <v>177</v>
      </c>
      <c r="B117" t="s">
        <v>18</v>
      </c>
      <c r="C117" s="24">
        <v>45523</v>
      </c>
      <c r="D117" t="s">
        <v>45</v>
      </c>
      <c r="E117" t="s">
        <v>510</v>
      </c>
      <c r="F117">
        <v>1257</v>
      </c>
      <c r="G117">
        <v>19</v>
      </c>
      <c r="H117">
        <v>351</v>
      </c>
      <c r="I117">
        <v>12570</v>
      </c>
      <c r="J117">
        <v>11660</v>
      </c>
      <c r="K117">
        <v>194</v>
      </c>
      <c r="L117" t="s">
        <v>505</v>
      </c>
      <c r="M117" t="s">
        <v>499</v>
      </c>
      <c r="N117">
        <f>SUM(F117:H117)/I117</f>
        <v>0.12943516308671441</v>
      </c>
    </row>
    <row r="118" spans="1:14" x14ac:dyDescent="0.3">
      <c r="A118" t="s">
        <v>230</v>
      </c>
      <c r="B118" t="s">
        <v>23</v>
      </c>
      <c r="C118" s="24">
        <v>45610</v>
      </c>
      <c r="D118" t="s">
        <v>57</v>
      </c>
      <c r="E118" t="s">
        <v>523</v>
      </c>
      <c r="F118">
        <v>4000</v>
      </c>
      <c r="G118">
        <v>689</v>
      </c>
      <c r="H118">
        <v>488</v>
      </c>
      <c r="I118">
        <v>40000</v>
      </c>
      <c r="J118">
        <v>39569</v>
      </c>
      <c r="K118">
        <v>44</v>
      </c>
      <c r="L118" t="s">
        <v>494</v>
      </c>
      <c r="M118" t="s">
        <v>495</v>
      </c>
      <c r="N118">
        <f>SUM(F118:H118)/I118</f>
        <v>0.12942500000000001</v>
      </c>
    </row>
    <row r="119" spans="1:14" x14ac:dyDescent="0.3">
      <c r="A119" t="s">
        <v>186</v>
      </c>
      <c r="B119" t="s">
        <v>18</v>
      </c>
      <c r="C119" s="24">
        <v>45644</v>
      </c>
      <c r="D119" t="s">
        <v>20</v>
      </c>
      <c r="E119" t="s">
        <v>507</v>
      </c>
      <c r="F119">
        <v>2946</v>
      </c>
      <c r="G119">
        <v>498</v>
      </c>
      <c r="H119">
        <v>367</v>
      </c>
      <c r="I119">
        <v>29460</v>
      </c>
      <c r="J119">
        <v>28527</v>
      </c>
      <c r="K119">
        <v>60</v>
      </c>
      <c r="L119" t="s">
        <v>494</v>
      </c>
      <c r="M119" t="s">
        <v>503</v>
      </c>
      <c r="N119">
        <f>SUM(F119:H119)/I119</f>
        <v>0.12936184657162253</v>
      </c>
    </row>
    <row r="120" spans="1:14" x14ac:dyDescent="0.3">
      <c r="A120" t="s">
        <v>233</v>
      </c>
      <c r="B120" t="s">
        <v>38</v>
      </c>
      <c r="C120" s="24">
        <v>45457</v>
      </c>
      <c r="D120" t="s">
        <v>20</v>
      </c>
      <c r="E120" t="s">
        <v>518</v>
      </c>
      <c r="F120">
        <v>498</v>
      </c>
      <c r="G120">
        <v>38</v>
      </c>
      <c r="H120">
        <v>42</v>
      </c>
      <c r="I120">
        <v>4482</v>
      </c>
      <c r="J120">
        <v>3647</v>
      </c>
      <c r="K120">
        <v>32</v>
      </c>
      <c r="L120" t="s">
        <v>494</v>
      </c>
      <c r="M120" t="s">
        <v>495</v>
      </c>
      <c r="N120">
        <f>SUM(F120:H120)/I120</f>
        <v>0.12896028558679162</v>
      </c>
    </row>
    <row r="121" spans="1:14" x14ac:dyDescent="0.3">
      <c r="A121" t="s">
        <v>166</v>
      </c>
      <c r="B121" t="s">
        <v>18</v>
      </c>
      <c r="C121" s="24">
        <v>45494</v>
      </c>
      <c r="D121" t="s">
        <v>53</v>
      </c>
      <c r="E121" t="s">
        <v>512</v>
      </c>
      <c r="F121">
        <v>1946</v>
      </c>
      <c r="G121">
        <v>686</v>
      </c>
      <c r="H121">
        <v>377</v>
      </c>
      <c r="I121">
        <v>23352</v>
      </c>
      <c r="J121">
        <v>22982</v>
      </c>
      <c r="K121">
        <v>213</v>
      </c>
      <c r="L121" t="s">
        <v>494</v>
      </c>
      <c r="M121" t="s">
        <v>503</v>
      </c>
      <c r="N121">
        <f>SUM(F121:H121)/I121</f>
        <v>0.12885405960945528</v>
      </c>
    </row>
    <row r="122" spans="1:14" x14ac:dyDescent="0.3">
      <c r="A122" t="s">
        <v>144</v>
      </c>
      <c r="B122" t="s">
        <v>18</v>
      </c>
      <c r="C122" s="24">
        <v>45648</v>
      </c>
      <c r="D122" t="s">
        <v>24</v>
      </c>
      <c r="E122" t="s">
        <v>511</v>
      </c>
      <c r="F122">
        <v>3196</v>
      </c>
      <c r="G122">
        <v>941</v>
      </c>
      <c r="H122">
        <v>376</v>
      </c>
      <c r="I122">
        <v>35156</v>
      </c>
      <c r="J122">
        <v>34444</v>
      </c>
      <c r="K122">
        <v>241</v>
      </c>
      <c r="L122" t="s">
        <v>498</v>
      </c>
      <c r="M122" t="s">
        <v>503</v>
      </c>
      <c r="N122">
        <f>SUM(F122:H122)/I122</f>
        <v>0.1283706906360223</v>
      </c>
    </row>
    <row r="123" spans="1:14" x14ac:dyDescent="0.3">
      <c r="A123" t="s">
        <v>165</v>
      </c>
      <c r="B123" t="s">
        <v>18</v>
      </c>
      <c r="C123" s="24">
        <v>45525</v>
      </c>
      <c r="D123" t="s">
        <v>24</v>
      </c>
      <c r="E123" t="s">
        <v>511</v>
      </c>
      <c r="F123">
        <v>1407</v>
      </c>
      <c r="G123">
        <v>400</v>
      </c>
      <c r="H123">
        <v>351</v>
      </c>
      <c r="I123">
        <v>16884</v>
      </c>
      <c r="J123">
        <v>15954</v>
      </c>
      <c r="K123">
        <v>113</v>
      </c>
      <c r="L123" t="s">
        <v>498</v>
      </c>
      <c r="M123" t="s">
        <v>495</v>
      </c>
      <c r="N123">
        <f>SUM(F123:H123)/I123</f>
        <v>0.12781331438047855</v>
      </c>
    </row>
    <row r="124" spans="1:14" x14ac:dyDescent="0.3">
      <c r="A124" t="s">
        <v>209</v>
      </c>
      <c r="B124" t="s">
        <v>501</v>
      </c>
      <c r="C124" s="24">
        <v>45705</v>
      </c>
      <c r="D124" t="s">
        <v>53</v>
      </c>
      <c r="E124" t="s">
        <v>502</v>
      </c>
      <c r="F124">
        <v>3138</v>
      </c>
      <c r="G124">
        <v>123</v>
      </c>
      <c r="H124">
        <v>291</v>
      </c>
      <c r="I124">
        <v>28242</v>
      </c>
      <c r="J124">
        <v>27550</v>
      </c>
      <c r="K124">
        <v>87</v>
      </c>
      <c r="L124" t="s">
        <v>498</v>
      </c>
      <c r="M124" t="s">
        <v>506</v>
      </c>
      <c r="N124">
        <f>SUM(F124:H124)/I124</f>
        <v>0.12577012959422137</v>
      </c>
    </row>
    <row r="125" spans="1:14" x14ac:dyDescent="0.3">
      <c r="A125" t="s">
        <v>175</v>
      </c>
      <c r="B125" t="s">
        <v>38</v>
      </c>
      <c r="C125" s="24">
        <v>45645</v>
      </c>
      <c r="D125" t="s">
        <v>45</v>
      </c>
      <c r="E125" t="s">
        <v>520</v>
      </c>
      <c r="F125">
        <v>1813</v>
      </c>
      <c r="G125">
        <v>623</v>
      </c>
      <c r="H125">
        <v>72</v>
      </c>
      <c r="I125">
        <v>19943</v>
      </c>
      <c r="J125">
        <v>18959</v>
      </c>
      <c r="K125">
        <v>85</v>
      </c>
      <c r="L125" t="s">
        <v>505</v>
      </c>
      <c r="M125" t="s">
        <v>503</v>
      </c>
      <c r="N125">
        <f>SUM(F125:H125)/I125</f>
        <v>0.12575841147269717</v>
      </c>
    </row>
    <row r="126" spans="1:14" x14ac:dyDescent="0.3">
      <c r="A126" t="s">
        <v>279</v>
      </c>
      <c r="B126" t="s">
        <v>23</v>
      </c>
      <c r="C126" s="24">
        <v>45667</v>
      </c>
      <c r="D126" t="s">
        <v>24</v>
      </c>
      <c r="E126" t="s">
        <v>521</v>
      </c>
      <c r="F126">
        <v>3092</v>
      </c>
      <c r="G126">
        <v>106</v>
      </c>
      <c r="H126">
        <v>291</v>
      </c>
      <c r="I126">
        <v>27828</v>
      </c>
      <c r="J126">
        <v>27217</v>
      </c>
      <c r="K126">
        <v>102</v>
      </c>
      <c r="L126" t="s">
        <v>494</v>
      </c>
      <c r="N126">
        <f>SUM(F126:H126)/I126</f>
        <v>0.12537731780940059</v>
      </c>
    </row>
    <row r="127" spans="1:14" x14ac:dyDescent="0.3">
      <c r="A127" t="s">
        <v>342</v>
      </c>
      <c r="B127" t="s">
        <v>501</v>
      </c>
      <c r="C127" s="24">
        <v>45629</v>
      </c>
      <c r="D127" t="s">
        <v>14</v>
      </c>
      <c r="E127" t="s">
        <v>526</v>
      </c>
      <c r="F127">
        <v>3809</v>
      </c>
      <c r="G127">
        <v>273</v>
      </c>
      <c r="H127">
        <v>200</v>
      </c>
      <c r="I127">
        <v>34281</v>
      </c>
      <c r="J127">
        <v>33534</v>
      </c>
      <c r="K127">
        <v>83</v>
      </c>
      <c r="L127" t="s">
        <v>505</v>
      </c>
      <c r="M127" t="s">
        <v>495</v>
      </c>
      <c r="N127">
        <f>SUM(F127:H127)/I127</f>
        <v>0.12490884163239112</v>
      </c>
    </row>
    <row r="128" spans="1:14" x14ac:dyDescent="0.3">
      <c r="A128" t="s">
        <v>354</v>
      </c>
      <c r="B128" t="s">
        <v>501</v>
      </c>
      <c r="C128" s="24">
        <v>45719</v>
      </c>
      <c r="D128" t="s">
        <v>14</v>
      </c>
      <c r="E128" t="s">
        <v>526</v>
      </c>
      <c r="F128">
        <v>3874</v>
      </c>
      <c r="G128">
        <v>884</v>
      </c>
      <c r="H128">
        <v>19</v>
      </c>
      <c r="I128">
        <v>38740</v>
      </c>
      <c r="J128">
        <v>38552</v>
      </c>
      <c r="K128">
        <v>219</v>
      </c>
      <c r="L128" t="s">
        <v>498</v>
      </c>
      <c r="M128" t="s">
        <v>499</v>
      </c>
      <c r="N128">
        <f>SUM(F128:H128)/I128</f>
        <v>0.123309241094476</v>
      </c>
    </row>
    <row r="129" spans="1:14" x14ac:dyDescent="0.3">
      <c r="A129" t="s">
        <v>59</v>
      </c>
      <c r="B129" t="s">
        <v>38</v>
      </c>
      <c r="C129" s="24">
        <v>45502</v>
      </c>
      <c r="D129" t="s">
        <v>53</v>
      </c>
      <c r="E129" t="s">
        <v>516</v>
      </c>
      <c r="F129">
        <v>3523</v>
      </c>
      <c r="G129">
        <v>753</v>
      </c>
      <c r="H129">
        <v>482</v>
      </c>
      <c r="I129">
        <v>38753</v>
      </c>
      <c r="J129">
        <v>38579</v>
      </c>
      <c r="K129">
        <v>270</v>
      </c>
      <c r="L129" t="s">
        <v>505</v>
      </c>
      <c r="M129" t="s">
        <v>499</v>
      </c>
      <c r="N129">
        <f>SUM(F129:H129)/I129</f>
        <v>0.12277759141227776</v>
      </c>
    </row>
    <row r="130" spans="1:14" x14ac:dyDescent="0.3">
      <c r="A130" t="s">
        <v>254</v>
      </c>
      <c r="B130" t="s">
        <v>18</v>
      </c>
      <c r="C130" s="24">
        <v>45669</v>
      </c>
      <c r="D130" t="s">
        <v>53</v>
      </c>
      <c r="E130" t="s">
        <v>512</v>
      </c>
      <c r="F130">
        <v>4134</v>
      </c>
      <c r="G130">
        <v>824</v>
      </c>
      <c r="H130">
        <v>99</v>
      </c>
      <c r="I130">
        <v>41340</v>
      </c>
      <c r="J130">
        <v>41050</v>
      </c>
      <c r="K130">
        <v>177</v>
      </c>
      <c r="L130" t="s">
        <v>505</v>
      </c>
      <c r="M130" t="s">
        <v>495</v>
      </c>
      <c r="N130">
        <f>SUM(F130:H130)/I130</f>
        <v>0.12232704402515723</v>
      </c>
    </row>
    <row r="131" spans="1:14" x14ac:dyDescent="0.3">
      <c r="A131" t="s">
        <v>374</v>
      </c>
      <c r="B131" t="s">
        <v>38</v>
      </c>
      <c r="C131" s="24">
        <v>45505</v>
      </c>
      <c r="D131" t="s">
        <v>53</v>
      </c>
      <c r="E131" t="s">
        <v>516</v>
      </c>
      <c r="F131">
        <v>1674</v>
      </c>
      <c r="G131">
        <v>929</v>
      </c>
      <c r="H131">
        <v>37</v>
      </c>
      <c r="I131">
        <v>21762</v>
      </c>
      <c r="J131">
        <v>20998</v>
      </c>
      <c r="K131">
        <v>255</v>
      </c>
      <c r="L131" t="s">
        <v>498</v>
      </c>
      <c r="M131" t="s">
        <v>506</v>
      </c>
      <c r="N131">
        <f>SUM(F131:H131)/I131</f>
        <v>0.12131237937689551</v>
      </c>
    </row>
    <row r="132" spans="1:14" x14ac:dyDescent="0.3">
      <c r="A132" t="s">
        <v>353</v>
      </c>
      <c r="B132" t="s">
        <v>18</v>
      </c>
      <c r="C132" s="24">
        <v>45750</v>
      </c>
      <c r="D132" t="s">
        <v>57</v>
      </c>
      <c r="E132" t="s">
        <v>514</v>
      </c>
      <c r="F132">
        <v>3767</v>
      </c>
      <c r="G132">
        <v>514</v>
      </c>
      <c r="H132">
        <v>238</v>
      </c>
      <c r="I132">
        <v>37670</v>
      </c>
      <c r="J132">
        <v>36807</v>
      </c>
      <c r="K132">
        <v>226</v>
      </c>
      <c r="L132" t="s">
        <v>494</v>
      </c>
      <c r="M132" t="s">
        <v>506</v>
      </c>
      <c r="N132">
        <f>SUM(F132:H132)/I132</f>
        <v>0.11996283514733209</v>
      </c>
    </row>
    <row r="133" spans="1:14" x14ac:dyDescent="0.3">
      <c r="A133" t="s">
        <v>364</v>
      </c>
      <c r="B133" t="s">
        <v>501</v>
      </c>
      <c r="C133" s="24">
        <v>45537</v>
      </c>
      <c r="D133" t="s">
        <v>20</v>
      </c>
      <c r="E133" t="s">
        <v>513</v>
      </c>
      <c r="F133">
        <v>2551</v>
      </c>
      <c r="G133">
        <v>915</v>
      </c>
      <c r="H133">
        <v>205</v>
      </c>
      <c r="I133">
        <v>30612</v>
      </c>
      <c r="J133">
        <v>30360</v>
      </c>
      <c r="K133">
        <v>227</v>
      </c>
      <c r="L133" t="s">
        <v>498</v>
      </c>
      <c r="M133" t="s">
        <v>499</v>
      </c>
      <c r="N133">
        <f>SUM(F133:H133)/I133</f>
        <v>0.1199202926956749</v>
      </c>
    </row>
    <row r="134" spans="1:14" x14ac:dyDescent="0.3">
      <c r="A134" t="s">
        <v>79</v>
      </c>
      <c r="B134" t="s">
        <v>38</v>
      </c>
      <c r="C134" s="24">
        <v>45744</v>
      </c>
      <c r="D134" t="s">
        <v>57</v>
      </c>
      <c r="E134" t="s">
        <v>504</v>
      </c>
      <c r="F134">
        <v>1881</v>
      </c>
      <c r="G134">
        <v>501</v>
      </c>
      <c r="H134">
        <v>99</v>
      </c>
      <c r="I134">
        <v>20691</v>
      </c>
      <c r="J134">
        <v>19987</v>
      </c>
      <c r="K134">
        <v>289</v>
      </c>
      <c r="L134" t="s">
        <v>505</v>
      </c>
      <c r="N134">
        <f>SUM(F134:H134)/I134</f>
        <v>0.11990720603160794</v>
      </c>
    </row>
    <row r="135" spans="1:14" x14ac:dyDescent="0.3">
      <c r="A135" t="s">
        <v>86</v>
      </c>
      <c r="B135" t="s">
        <v>18</v>
      </c>
      <c r="C135" s="24">
        <v>45531</v>
      </c>
      <c r="D135" t="s">
        <v>53</v>
      </c>
      <c r="E135" t="s">
        <v>512</v>
      </c>
      <c r="F135">
        <v>3960</v>
      </c>
      <c r="G135">
        <v>266</v>
      </c>
      <c r="H135">
        <v>8</v>
      </c>
      <c r="I135">
        <v>35640</v>
      </c>
      <c r="J135">
        <v>34850</v>
      </c>
      <c r="K135">
        <v>208</v>
      </c>
      <c r="L135" t="s">
        <v>494</v>
      </c>
      <c r="N135">
        <f>SUM(F135:H135)/I135</f>
        <v>0.11879910213243547</v>
      </c>
    </row>
    <row r="136" spans="1:14" x14ac:dyDescent="0.3">
      <c r="A136" t="s">
        <v>86</v>
      </c>
      <c r="B136" t="s">
        <v>18</v>
      </c>
      <c r="C136" s="24">
        <v>45531</v>
      </c>
      <c r="D136" t="s">
        <v>53</v>
      </c>
      <c r="E136" t="s">
        <v>512</v>
      </c>
      <c r="F136">
        <v>3960</v>
      </c>
      <c r="G136">
        <v>266</v>
      </c>
      <c r="H136">
        <v>8</v>
      </c>
      <c r="I136">
        <v>35640</v>
      </c>
      <c r="J136">
        <v>34850</v>
      </c>
      <c r="K136">
        <v>208</v>
      </c>
      <c r="L136" t="s">
        <v>505</v>
      </c>
      <c r="N136">
        <f>SUM(F136:H136)/I136</f>
        <v>0.11879910213243547</v>
      </c>
    </row>
    <row r="137" spans="1:14" x14ac:dyDescent="0.3">
      <c r="A137" t="s">
        <v>86</v>
      </c>
      <c r="B137" t="s">
        <v>18</v>
      </c>
      <c r="C137" s="24">
        <v>45531</v>
      </c>
      <c r="D137" t="s">
        <v>53</v>
      </c>
      <c r="E137" t="s">
        <v>512</v>
      </c>
      <c r="F137">
        <v>3960</v>
      </c>
      <c r="G137">
        <v>266</v>
      </c>
      <c r="H137">
        <v>8</v>
      </c>
      <c r="I137">
        <v>35640</v>
      </c>
      <c r="J137">
        <v>34850</v>
      </c>
      <c r="K137">
        <v>208</v>
      </c>
      <c r="L137" t="s">
        <v>500</v>
      </c>
      <c r="N137">
        <f>SUM(F137:H137)/I137</f>
        <v>0.11879910213243547</v>
      </c>
    </row>
    <row r="138" spans="1:14" x14ac:dyDescent="0.3">
      <c r="A138" t="s">
        <v>42</v>
      </c>
      <c r="B138" t="s">
        <v>38</v>
      </c>
      <c r="C138" s="24">
        <v>45626</v>
      </c>
      <c r="D138" t="s">
        <v>14</v>
      </c>
      <c r="E138" t="s">
        <v>517</v>
      </c>
      <c r="F138">
        <v>3775</v>
      </c>
      <c r="G138">
        <v>16</v>
      </c>
      <c r="H138">
        <v>239</v>
      </c>
      <c r="I138">
        <v>33975</v>
      </c>
      <c r="J138">
        <v>33310</v>
      </c>
      <c r="K138">
        <v>271</v>
      </c>
      <c r="L138" t="s">
        <v>494</v>
      </c>
      <c r="M138" t="s">
        <v>499</v>
      </c>
      <c r="N138">
        <f>SUM(F138:H138)/I138</f>
        <v>0.11861662987490802</v>
      </c>
    </row>
    <row r="139" spans="1:14" x14ac:dyDescent="0.3">
      <c r="A139" t="s">
        <v>334</v>
      </c>
      <c r="B139" t="s">
        <v>23</v>
      </c>
      <c r="C139" s="24">
        <v>45600</v>
      </c>
      <c r="D139" t="s">
        <v>24</v>
      </c>
      <c r="E139" t="s">
        <v>521</v>
      </c>
      <c r="F139">
        <v>1606</v>
      </c>
      <c r="G139">
        <v>451</v>
      </c>
      <c r="H139">
        <v>405</v>
      </c>
      <c r="I139">
        <v>20878</v>
      </c>
      <c r="J139">
        <v>20190</v>
      </c>
      <c r="K139">
        <v>219</v>
      </c>
      <c r="L139" t="s">
        <v>505</v>
      </c>
      <c r="M139" t="s">
        <v>506</v>
      </c>
      <c r="N139">
        <f>SUM(F139:H139)/I139</f>
        <v>0.11792317271769326</v>
      </c>
    </row>
    <row r="140" spans="1:14" x14ac:dyDescent="0.3">
      <c r="A140" t="s">
        <v>89</v>
      </c>
      <c r="B140" t="s">
        <v>38</v>
      </c>
      <c r="C140" s="24">
        <v>45743</v>
      </c>
      <c r="D140" t="s">
        <v>20</v>
      </c>
      <c r="E140" t="s">
        <v>518</v>
      </c>
      <c r="F140">
        <v>1377</v>
      </c>
      <c r="G140">
        <v>796</v>
      </c>
      <c r="H140">
        <v>387</v>
      </c>
      <c r="I140">
        <v>22032</v>
      </c>
      <c r="J140">
        <v>21869</v>
      </c>
      <c r="K140">
        <v>189</v>
      </c>
      <c r="L140" t="s">
        <v>494</v>
      </c>
      <c r="N140">
        <f>SUM(F140:H140)/I140</f>
        <v>0.11619462599854757</v>
      </c>
    </row>
    <row r="141" spans="1:14" x14ac:dyDescent="0.3">
      <c r="A141" t="s">
        <v>372</v>
      </c>
      <c r="B141" t="s">
        <v>38</v>
      </c>
      <c r="C141" s="24">
        <v>45690</v>
      </c>
      <c r="D141" t="s">
        <v>57</v>
      </c>
      <c r="E141" t="s">
        <v>504</v>
      </c>
      <c r="F141">
        <v>1792</v>
      </c>
      <c r="G141">
        <v>614</v>
      </c>
      <c r="H141">
        <v>497</v>
      </c>
      <c r="I141">
        <v>25088</v>
      </c>
      <c r="J141">
        <v>24675</v>
      </c>
      <c r="K141">
        <v>65</v>
      </c>
      <c r="L141" t="s">
        <v>494</v>
      </c>
      <c r="M141" t="s">
        <v>506</v>
      </c>
      <c r="N141">
        <f>SUM(F141:H141)/I141</f>
        <v>0.11571269132653061</v>
      </c>
    </row>
    <row r="142" spans="1:14" x14ac:dyDescent="0.3">
      <c r="A142" t="s">
        <v>184</v>
      </c>
      <c r="B142" t="s">
        <v>23</v>
      </c>
      <c r="C142" s="24">
        <v>45707</v>
      </c>
      <c r="D142" t="s">
        <v>45</v>
      </c>
      <c r="E142" t="s">
        <v>497</v>
      </c>
      <c r="F142">
        <v>4671</v>
      </c>
      <c r="G142">
        <v>876</v>
      </c>
      <c r="H142">
        <v>366</v>
      </c>
      <c r="I142">
        <v>51381</v>
      </c>
      <c r="J142">
        <v>50565</v>
      </c>
      <c r="K142">
        <v>245</v>
      </c>
      <c r="L142" t="s">
        <v>498</v>
      </c>
      <c r="M142" t="s">
        <v>506</v>
      </c>
      <c r="N142">
        <f>SUM(F142:H142)/I142</f>
        <v>0.11508145034156594</v>
      </c>
    </row>
    <row r="143" spans="1:14" x14ac:dyDescent="0.3">
      <c r="A143" t="s">
        <v>156</v>
      </c>
      <c r="B143" t="s">
        <v>501</v>
      </c>
      <c r="C143" s="24">
        <v>45647</v>
      </c>
      <c r="D143" t="s">
        <v>24</v>
      </c>
      <c r="E143" t="s">
        <v>509</v>
      </c>
      <c r="F143">
        <v>2283</v>
      </c>
      <c r="G143">
        <v>210</v>
      </c>
      <c r="H143">
        <v>130</v>
      </c>
      <c r="I143">
        <v>22830</v>
      </c>
      <c r="J143">
        <v>22617</v>
      </c>
      <c r="K143">
        <v>143</v>
      </c>
      <c r="L143" t="s">
        <v>494</v>
      </c>
      <c r="M143" t="s">
        <v>499</v>
      </c>
      <c r="N143">
        <f>SUM(F143:H143)/I143</f>
        <v>0.11489268506351293</v>
      </c>
    </row>
    <row r="144" spans="1:14" x14ac:dyDescent="0.3">
      <c r="A144" t="s">
        <v>360</v>
      </c>
      <c r="B144" t="s">
        <v>23</v>
      </c>
      <c r="C144" s="24">
        <v>45567</v>
      </c>
      <c r="D144" t="s">
        <v>20</v>
      </c>
      <c r="E144" t="s">
        <v>508</v>
      </c>
      <c r="F144">
        <v>4419</v>
      </c>
      <c r="G144">
        <v>236</v>
      </c>
      <c r="H144">
        <v>369</v>
      </c>
      <c r="I144">
        <v>44190</v>
      </c>
      <c r="J144">
        <v>43582</v>
      </c>
      <c r="K144">
        <v>10</v>
      </c>
      <c r="L144" t="s">
        <v>505</v>
      </c>
      <c r="M144" t="s">
        <v>495</v>
      </c>
      <c r="N144">
        <f>SUM(F144:H144)/I144</f>
        <v>0.11369088028965829</v>
      </c>
    </row>
    <row r="145" spans="1:14" x14ac:dyDescent="0.3">
      <c r="A145" t="s">
        <v>259</v>
      </c>
      <c r="B145" t="s">
        <v>38</v>
      </c>
      <c r="C145" s="24">
        <v>45515</v>
      </c>
      <c r="D145" t="s">
        <v>57</v>
      </c>
      <c r="E145" t="s">
        <v>504</v>
      </c>
      <c r="F145">
        <v>1762</v>
      </c>
      <c r="G145">
        <v>405</v>
      </c>
      <c r="H145">
        <v>423</v>
      </c>
      <c r="I145">
        <v>22906</v>
      </c>
      <c r="J145">
        <v>21925</v>
      </c>
      <c r="K145">
        <v>25</v>
      </c>
      <c r="L145" t="s">
        <v>498</v>
      </c>
      <c r="M145" t="s">
        <v>495</v>
      </c>
      <c r="N145">
        <f>SUM(F145:H145)/I145</f>
        <v>0.11307081114118571</v>
      </c>
    </row>
    <row r="146" spans="1:14" x14ac:dyDescent="0.3">
      <c r="A146" t="s">
        <v>272</v>
      </c>
      <c r="B146" t="s">
        <v>23</v>
      </c>
      <c r="C146" s="24">
        <v>45453</v>
      </c>
      <c r="D146" t="s">
        <v>57</v>
      </c>
      <c r="E146" t="s">
        <v>523</v>
      </c>
      <c r="F146">
        <v>1575</v>
      </c>
      <c r="G146">
        <v>771</v>
      </c>
      <c r="H146">
        <v>486</v>
      </c>
      <c r="I146">
        <v>25200</v>
      </c>
      <c r="J146">
        <v>24826</v>
      </c>
      <c r="K146">
        <v>17</v>
      </c>
      <c r="L146" t="s">
        <v>494</v>
      </c>
      <c r="M146" t="s">
        <v>506</v>
      </c>
      <c r="N146">
        <f>SUM(F146:H146)/I146</f>
        <v>0.11238095238095239</v>
      </c>
    </row>
    <row r="147" spans="1:14" x14ac:dyDescent="0.3">
      <c r="A147" t="s">
        <v>250</v>
      </c>
      <c r="B147" t="s">
        <v>38</v>
      </c>
      <c r="C147" s="24">
        <v>45455</v>
      </c>
      <c r="D147" t="s">
        <v>45</v>
      </c>
      <c r="E147" t="s">
        <v>520</v>
      </c>
      <c r="F147">
        <v>246</v>
      </c>
      <c r="G147">
        <v>149</v>
      </c>
      <c r="H147">
        <v>130</v>
      </c>
      <c r="I147">
        <v>4674</v>
      </c>
      <c r="J147">
        <v>4390</v>
      </c>
      <c r="K147">
        <v>217</v>
      </c>
      <c r="L147" t="s">
        <v>494</v>
      </c>
      <c r="M147" t="s">
        <v>503</v>
      </c>
      <c r="N147">
        <f>SUM(F147:H147)/I147</f>
        <v>0.11232349165596919</v>
      </c>
    </row>
    <row r="148" spans="1:14" x14ac:dyDescent="0.3">
      <c r="A148" t="s">
        <v>289</v>
      </c>
      <c r="B148" t="s">
        <v>18</v>
      </c>
      <c r="C148" s="24">
        <v>45573</v>
      </c>
      <c r="D148" t="s">
        <v>53</v>
      </c>
      <c r="E148" t="s">
        <v>512</v>
      </c>
      <c r="F148">
        <v>1814</v>
      </c>
      <c r="G148">
        <v>653</v>
      </c>
      <c r="H148">
        <v>363</v>
      </c>
      <c r="I148">
        <v>25396</v>
      </c>
      <c r="J148">
        <v>25286</v>
      </c>
      <c r="K148">
        <v>39</v>
      </c>
      <c r="L148" t="s">
        <v>494</v>
      </c>
      <c r="M148" t="s">
        <v>495</v>
      </c>
      <c r="N148">
        <f>SUM(F148:H148)/I148</f>
        <v>0.11143487163332809</v>
      </c>
    </row>
    <row r="149" spans="1:14" x14ac:dyDescent="0.3">
      <c r="A149" t="s">
        <v>289</v>
      </c>
      <c r="B149" t="s">
        <v>18</v>
      </c>
      <c r="C149" s="24">
        <v>45573</v>
      </c>
      <c r="D149" t="s">
        <v>53</v>
      </c>
      <c r="E149" t="s">
        <v>512</v>
      </c>
      <c r="F149">
        <v>1814</v>
      </c>
      <c r="G149">
        <v>653</v>
      </c>
      <c r="H149">
        <v>363</v>
      </c>
      <c r="I149">
        <v>25396</v>
      </c>
      <c r="J149">
        <v>25286</v>
      </c>
      <c r="K149">
        <v>39</v>
      </c>
      <c r="L149" t="s">
        <v>527</v>
      </c>
      <c r="M149" t="s">
        <v>495</v>
      </c>
      <c r="N149">
        <f>SUM(F149:H149)/I149</f>
        <v>0.11143487163332809</v>
      </c>
    </row>
    <row r="150" spans="1:14" x14ac:dyDescent="0.3">
      <c r="A150" t="s">
        <v>100</v>
      </c>
      <c r="B150" t="s">
        <v>38</v>
      </c>
      <c r="C150" s="24">
        <v>45499</v>
      </c>
      <c r="D150" t="s">
        <v>24</v>
      </c>
      <c r="E150" t="s">
        <v>525</v>
      </c>
      <c r="F150">
        <v>3559</v>
      </c>
      <c r="G150">
        <v>59</v>
      </c>
      <c r="H150">
        <v>289</v>
      </c>
      <c r="I150">
        <v>35590</v>
      </c>
      <c r="J150">
        <v>35105</v>
      </c>
      <c r="K150">
        <v>122</v>
      </c>
      <c r="L150" t="s">
        <v>505</v>
      </c>
      <c r="M150" t="s">
        <v>495</v>
      </c>
      <c r="N150">
        <f>SUM(F150:H150)/I150</f>
        <v>0.10977802753582468</v>
      </c>
    </row>
    <row r="151" spans="1:14" x14ac:dyDescent="0.3">
      <c r="A151" t="s">
        <v>147</v>
      </c>
      <c r="B151" t="s">
        <v>18</v>
      </c>
      <c r="C151" s="24">
        <v>45587</v>
      </c>
      <c r="D151" t="s">
        <v>20</v>
      </c>
      <c r="E151" t="s">
        <v>507</v>
      </c>
      <c r="F151">
        <v>3352</v>
      </c>
      <c r="G151">
        <v>941</v>
      </c>
      <c r="H151">
        <v>482</v>
      </c>
      <c r="I151">
        <v>43576</v>
      </c>
      <c r="J151">
        <v>43338</v>
      </c>
      <c r="K151">
        <v>240</v>
      </c>
      <c r="L151" t="s">
        <v>494</v>
      </c>
      <c r="M151" t="s">
        <v>499</v>
      </c>
      <c r="N151">
        <f>SUM(F151:H151)/I151</f>
        <v>0.1095786671562328</v>
      </c>
    </row>
    <row r="152" spans="1:14" x14ac:dyDescent="0.3">
      <c r="A152" t="s">
        <v>139</v>
      </c>
      <c r="B152" t="s">
        <v>501</v>
      </c>
      <c r="C152" s="24">
        <v>45496</v>
      </c>
      <c r="D152" t="s">
        <v>57</v>
      </c>
      <c r="E152" t="s">
        <v>524</v>
      </c>
      <c r="F152">
        <v>4775</v>
      </c>
      <c r="G152">
        <v>173</v>
      </c>
      <c r="H152">
        <v>206</v>
      </c>
      <c r="I152">
        <v>47750</v>
      </c>
      <c r="J152">
        <v>47544</v>
      </c>
      <c r="K152">
        <v>187</v>
      </c>
      <c r="L152" t="s">
        <v>494</v>
      </c>
      <c r="M152" t="s">
        <v>499</v>
      </c>
      <c r="N152">
        <f>SUM(F152:H152)/I152</f>
        <v>0.10793717277486911</v>
      </c>
    </row>
    <row r="153" spans="1:14" x14ac:dyDescent="0.3">
      <c r="A153" t="s">
        <v>123</v>
      </c>
      <c r="B153" t="s">
        <v>23</v>
      </c>
      <c r="C153" s="24">
        <v>45467</v>
      </c>
      <c r="D153" t="s">
        <v>45</v>
      </c>
      <c r="E153" t="s">
        <v>497</v>
      </c>
      <c r="F153">
        <v>941</v>
      </c>
      <c r="G153">
        <v>121</v>
      </c>
      <c r="H153">
        <v>458</v>
      </c>
      <c r="I153">
        <v>14115</v>
      </c>
      <c r="J153">
        <v>13838</v>
      </c>
      <c r="K153">
        <v>87</v>
      </c>
      <c r="L153" t="s">
        <v>505</v>
      </c>
      <c r="M153" t="s">
        <v>495</v>
      </c>
      <c r="N153">
        <f>SUM(F153:H153)/I153</f>
        <v>0.10768685795253277</v>
      </c>
    </row>
    <row r="154" spans="1:14" x14ac:dyDescent="0.3">
      <c r="A154" t="s">
        <v>270</v>
      </c>
      <c r="B154" t="s">
        <v>23</v>
      </c>
      <c r="C154" s="24">
        <v>45453</v>
      </c>
      <c r="D154" t="s">
        <v>57</v>
      </c>
      <c r="E154" t="s">
        <v>523</v>
      </c>
      <c r="F154">
        <v>2164</v>
      </c>
      <c r="G154">
        <v>549</v>
      </c>
      <c r="H154">
        <v>274</v>
      </c>
      <c r="I154">
        <v>28132</v>
      </c>
      <c r="J154">
        <v>27361</v>
      </c>
      <c r="K154">
        <v>177</v>
      </c>
      <c r="L154" t="s">
        <v>498</v>
      </c>
      <c r="M154" t="s">
        <v>506</v>
      </c>
      <c r="N154">
        <f>SUM(F154:H154)/I154</f>
        <v>0.10617801791554102</v>
      </c>
    </row>
    <row r="155" spans="1:14" x14ac:dyDescent="0.3">
      <c r="A155" t="s">
        <v>126</v>
      </c>
      <c r="B155" t="s">
        <v>23</v>
      </c>
      <c r="C155" s="24">
        <v>45771</v>
      </c>
      <c r="D155" t="s">
        <v>14</v>
      </c>
      <c r="E155" t="s">
        <v>522</v>
      </c>
      <c r="F155">
        <v>3820</v>
      </c>
      <c r="G155">
        <v>697</v>
      </c>
      <c r="H155">
        <v>268</v>
      </c>
      <c r="I155">
        <v>45840</v>
      </c>
      <c r="J155">
        <v>45631</v>
      </c>
      <c r="K155">
        <v>171</v>
      </c>
      <c r="L155" t="s">
        <v>498</v>
      </c>
      <c r="M155" t="s">
        <v>506</v>
      </c>
      <c r="N155">
        <f>SUM(F155:H155)/I155</f>
        <v>0.1043848167539267</v>
      </c>
    </row>
    <row r="156" spans="1:14" x14ac:dyDescent="0.3">
      <c r="A156" t="s">
        <v>126</v>
      </c>
      <c r="B156" t="s">
        <v>23</v>
      </c>
      <c r="C156" s="24">
        <v>45771</v>
      </c>
      <c r="D156" t="s">
        <v>14</v>
      </c>
      <c r="E156" t="s">
        <v>522</v>
      </c>
      <c r="F156">
        <v>3820</v>
      </c>
      <c r="G156">
        <v>697</v>
      </c>
      <c r="H156">
        <v>268</v>
      </c>
      <c r="I156">
        <v>45840</v>
      </c>
      <c r="J156">
        <v>45631</v>
      </c>
      <c r="K156">
        <v>171</v>
      </c>
      <c r="L156" t="s">
        <v>527</v>
      </c>
      <c r="M156" t="s">
        <v>506</v>
      </c>
      <c r="N156">
        <f>SUM(F156:H156)/I156</f>
        <v>0.1043848167539267</v>
      </c>
    </row>
    <row r="157" spans="1:14" x14ac:dyDescent="0.3">
      <c r="A157" t="s">
        <v>238</v>
      </c>
      <c r="B157" t="s">
        <v>501</v>
      </c>
      <c r="C157" s="24">
        <v>45486</v>
      </c>
      <c r="D157" t="s">
        <v>24</v>
      </c>
      <c r="E157" t="s">
        <v>509</v>
      </c>
      <c r="F157">
        <v>3929</v>
      </c>
      <c r="G157">
        <v>262</v>
      </c>
      <c r="H157">
        <v>278</v>
      </c>
      <c r="I157">
        <v>43219</v>
      </c>
      <c r="J157">
        <v>42841</v>
      </c>
      <c r="K157">
        <v>39</v>
      </c>
      <c r="L157" t="s">
        <v>505</v>
      </c>
      <c r="M157" t="s">
        <v>506</v>
      </c>
      <c r="N157">
        <f>SUM(F157:H157)/I157</f>
        <v>0.10340359564080613</v>
      </c>
    </row>
    <row r="158" spans="1:14" x14ac:dyDescent="0.3">
      <c r="A158" t="s">
        <v>268</v>
      </c>
      <c r="B158" t="s">
        <v>23</v>
      </c>
      <c r="C158" s="24">
        <v>45545</v>
      </c>
      <c r="D158" t="s">
        <v>24</v>
      </c>
      <c r="E158" t="s">
        <v>521</v>
      </c>
      <c r="F158">
        <v>1238</v>
      </c>
      <c r="G158">
        <v>366</v>
      </c>
      <c r="H158">
        <v>444</v>
      </c>
      <c r="I158">
        <v>19808</v>
      </c>
      <c r="J158">
        <v>19334</v>
      </c>
      <c r="K158">
        <v>123</v>
      </c>
      <c r="L158" t="s">
        <v>494</v>
      </c>
      <c r="N158">
        <f>SUM(F158:H158)/I158</f>
        <v>0.10339256865912763</v>
      </c>
    </row>
    <row r="159" spans="1:14" x14ac:dyDescent="0.3">
      <c r="A159" t="s">
        <v>179</v>
      </c>
      <c r="B159" t="s">
        <v>38</v>
      </c>
      <c r="C159" s="24">
        <v>45523</v>
      </c>
      <c r="D159" t="s">
        <v>53</v>
      </c>
      <c r="E159" t="s">
        <v>516</v>
      </c>
      <c r="F159">
        <v>3000</v>
      </c>
      <c r="G159">
        <v>382</v>
      </c>
      <c r="H159">
        <v>325</v>
      </c>
      <c r="I159">
        <v>36000</v>
      </c>
      <c r="J159">
        <v>35819</v>
      </c>
      <c r="K159">
        <v>19</v>
      </c>
      <c r="L159" t="s">
        <v>494</v>
      </c>
      <c r="M159" t="s">
        <v>495</v>
      </c>
      <c r="N159">
        <f>SUM(F159:H159)/I159</f>
        <v>0.10297222222222223</v>
      </c>
    </row>
    <row r="160" spans="1:14" x14ac:dyDescent="0.3">
      <c r="A160" t="s">
        <v>32</v>
      </c>
      <c r="B160" t="s">
        <v>18</v>
      </c>
      <c r="C160" s="24">
        <v>45504</v>
      </c>
      <c r="D160" t="s">
        <v>24</v>
      </c>
      <c r="E160" t="s">
        <v>511</v>
      </c>
      <c r="F160">
        <v>4689</v>
      </c>
      <c r="G160">
        <v>134</v>
      </c>
      <c r="H160">
        <v>403</v>
      </c>
      <c r="I160">
        <v>51579</v>
      </c>
      <c r="J160">
        <v>50924</v>
      </c>
      <c r="K160">
        <v>173</v>
      </c>
      <c r="L160" t="s">
        <v>498</v>
      </c>
      <c r="M160" t="s">
        <v>506</v>
      </c>
      <c r="N160">
        <f>SUM(F160:H160)/I160</f>
        <v>0.10132030477519921</v>
      </c>
    </row>
    <row r="161" spans="1:14" x14ac:dyDescent="0.3">
      <c r="A161" t="s">
        <v>108</v>
      </c>
      <c r="B161" t="s">
        <v>18</v>
      </c>
      <c r="C161" s="24">
        <v>45621</v>
      </c>
      <c r="D161" t="s">
        <v>57</v>
      </c>
      <c r="E161" t="s">
        <v>514</v>
      </c>
      <c r="F161">
        <v>4182</v>
      </c>
      <c r="G161">
        <v>640</v>
      </c>
      <c r="H161">
        <v>240</v>
      </c>
      <c r="I161">
        <v>50184</v>
      </c>
      <c r="J161">
        <v>49351</v>
      </c>
      <c r="K161">
        <v>10</v>
      </c>
      <c r="L161" t="s">
        <v>498</v>
      </c>
      <c r="M161" t="s">
        <v>503</v>
      </c>
      <c r="N161">
        <f>SUM(F161:H161)/I161</f>
        <v>0.10086880280567512</v>
      </c>
    </row>
    <row r="162" spans="1:14" x14ac:dyDescent="0.3">
      <c r="A162" t="s">
        <v>140</v>
      </c>
      <c r="B162" t="s">
        <v>38</v>
      </c>
      <c r="C162" s="24">
        <v>45466</v>
      </c>
      <c r="D162" t="s">
        <v>14</v>
      </c>
      <c r="E162" t="s">
        <v>517</v>
      </c>
      <c r="F162">
        <v>1071</v>
      </c>
      <c r="G162">
        <v>519</v>
      </c>
      <c r="H162">
        <v>22</v>
      </c>
      <c r="I162">
        <v>16065</v>
      </c>
      <c r="J162">
        <v>15865</v>
      </c>
      <c r="K162">
        <v>103</v>
      </c>
      <c r="L162" t="s">
        <v>498</v>
      </c>
      <c r="M162" t="s">
        <v>506</v>
      </c>
      <c r="N162">
        <f>SUM(F162:H162)/I162</f>
        <v>0.10034235916588857</v>
      </c>
    </row>
    <row r="163" spans="1:14" x14ac:dyDescent="0.3">
      <c r="A163" t="s">
        <v>111</v>
      </c>
      <c r="B163" t="s">
        <v>23</v>
      </c>
      <c r="C163" s="24">
        <v>45741</v>
      </c>
      <c r="D163" t="s">
        <v>14</v>
      </c>
      <c r="E163" t="s">
        <v>522</v>
      </c>
      <c r="F163">
        <v>4050</v>
      </c>
      <c r="G163">
        <v>871</v>
      </c>
      <c r="H163">
        <v>347</v>
      </c>
      <c r="I163">
        <v>52650</v>
      </c>
      <c r="J163">
        <v>51755</v>
      </c>
      <c r="K163">
        <v>209</v>
      </c>
      <c r="L163" t="s">
        <v>498</v>
      </c>
      <c r="M163" t="s">
        <v>499</v>
      </c>
      <c r="N163">
        <f>SUM(F163:H163)/I163</f>
        <v>0.10005698005698006</v>
      </c>
    </row>
    <row r="164" spans="1:14" x14ac:dyDescent="0.3">
      <c r="A164" t="s">
        <v>80</v>
      </c>
      <c r="B164" t="s">
        <v>38</v>
      </c>
      <c r="C164" s="24">
        <v>45744</v>
      </c>
      <c r="D164" t="s">
        <v>20</v>
      </c>
      <c r="E164" t="s">
        <v>518</v>
      </c>
      <c r="F164">
        <v>4158</v>
      </c>
      <c r="G164">
        <v>167</v>
      </c>
      <c r="H164">
        <v>241</v>
      </c>
      <c r="I164">
        <v>45738</v>
      </c>
      <c r="J164">
        <v>45183</v>
      </c>
      <c r="K164">
        <v>142</v>
      </c>
      <c r="L164" t="s">
        <v>494</v>
      </c>
      <c r="N164">
        <f>SUM(F164:H164)/I164</f>
        <v>9.9829463465827106E-2</v>
      </c>
    </row>
    <row r="165" spans="1:14" x14ac:dyDescent="0.3">
      <c r="A165" t="s">
        <v>262</v>
      </c>
      <c r="B165" t="s">
        <v>18</v>
      </c>
      <c r="C165" s="24">
        <v>45454</v>
      </c>
      <c r="D165" t="s">
        <v>24</v>
      </c>
      <c r="E165" t="s">
        <v>511</v>
      </c>
      <c r="F165">
        <v>3689</v>
      </c>
      <c r="G165">
        <v>48</v>
      </c>
      <c r="H165">
        <v>306</v>
      </c>
      <c r="I165">
        <v>40579</v>
      </c>
      <c r="J165">
        <v>39588</v>
      </c>
      <c r="K165">
        <v>212</v>
      </c>
      <c r="L165" t="s">
        <v>505</v>
      </c>
      <c r="M165" t="s">
        <v>499</v>
      </c>
      <c r="N165">
        <f>SUM(F165:H165)/I165</f>
        <v>9.9632815002833983E-2</v>
      </c>
    </row>
    <row r="166" spans="1:14" x14ac:dyDescent="0.3">
      <c r="A166" t="s">
        <v>343</v>
      </c>
      <c r="B166" t="s">
        <v>501</v>
      </c>
      <c r="C166" s="24">
        <v>45629</v>
      </c>
      <c r="D166" t="s">
        <v>57</v>
      </c>
      <c r="E166" t="s">
        <v>524</v>
      </c>
      <c r="F166">
        <v>4285</v>
      </c>
      <c r="G166">
        <v>886</v>
      </c>
      <c r="H166">
        <v>376</v>
      </c>
      <c r="I166">
        <v>55705</v>
      </c>
      <c r="J166">
        <v>55556</v>
      </c>
      <c r="K166">
        <v>51</v>
      </c>
      <c r="L166" t="s">
        <v>494</v>
      </c>
      <c r="M166" t="s">
        <v>503</v>
      </c>
      <c r="N166">
        <f>SUM(F166:H166)/I166</f>
        <v>9.9578134817341346E-2</v>
      </c>
    </row>
    <row r="167" spans="1:14" x14ac:dyDescent="0.3">
      <c r="A167" t="s">
        <v>258</v>
      </c>
      <c r="B167" t="s">
        <v>23</v>
      </c>
      <c r="C167" s="24">
        <v>45546</v>
      </c>
      <c r="D167" t="s">
        <v>24</v>
      </c>
      <c r="E167" t="s">
        <v>521</v>
      </c>
      <c r="F167">
        <v>4858</v>
      </c>
      <c r="G167">
        <v>317</v>
      </c>
      <c r="H167">
        <v>129</v>
      </c>
      <c r="I167">
        <v>53438</v>
      </c>
      <c r="J167">
        <v>52687</v>
      </c>
      <c r="K167">
        <v>223</v>
      </c>
      <c r="L167" t="s">
        <v>505</v>
      </c>
      <c r="M167" t="s">
        <v>503</v>
      </c>
      <c r="N167">
        <f>SUM(F167:H167)/I167</f>
        <v>9.9255211647142488E-2</v>
      </c>
    </row>
    <row r="168" spans="1:14" x14ac:dyDescent="0.3">
      <c r="A168" t="s">
        <v>69</v>
      </c>
      <c r="B168" t="s">
        <v>38</v>
      </c>
      <c r="C168" s="24">
        <v>45624</v>
      </c>
      <c r="D168" t="s">
        <v>45</v>
      </c>
      <c r="E168" t="s">
        <v>520</v>
      </c>
      <c r="F168">
        <v>4771</v>
      </c>
      <c r="G168">
        <v>818</v>
      </c>
      <c r="H168">
        <v>56</v>
      </c>
      <c r="I168">
        <v>57252</v>
      </c>
      <c r="J168">
        <v>56378</v>
      </c>
      <c r="K168">
        <v>150</v>
      </c>
      <c r="L168" t="s">
        <v>494</v>
      </c>
      <c r="N168">
        <f>SUM(F168:H168)/I168</f>
        <v>9.859917557465242E-2</v>
      </c>
    </row>
    <row r="169" spans="1:14" x14ac:dyDescent="0.3">
      <c r="A169" t="s">
        <v>370</v>
      </c>
      <c r="B169" t="s">
        <v>23</v>
      </c>
      <c r="C169" s="24">
        <v>45718</v>
      </c>
      <c r="D169" t="s">
        <v>24</v>
      </c>
      <c r="E169" t="s">
        <v>521</v>
      </c>
      <c r="F169">
        <v>2358</v>
      </c>
      <c r="G169">
        <v>784</v>
      </c>
      <c r="H169">
        <v>344</v>
      </c>
      <c r="I169">
        <v>35370</v>
      </c>
      <c r="J169">
        <v>34475</v>
      </c>
      <c r="K169">
        <v>216</v>
      </c>
      <c r="L169" t="s">
        <v>498</v>
      </c>
      <c r="N169">
        <f>SUM(F169:H169)/I169</f>
        <v>9.8558100084817649E-2</v>
      </c>
    </row>
    <row r="170" spans="1:14" x14ac:dyDescent="0.3">
      <c r="A170" t="s">
        <v>12</v>
      </c>
      <c r="B170" t="s">
        <v>501</v>
      </c>
      <c r="C170" s="24">
        <v>45657</v>
      </c>
      <c r="D170" t="s">
        <v>14</v>
      </c>
      <c r="E170" t="s">
        <v>526</v>
      </c>
      <c r="F170">
        <v>1018</v>
      </c>
      <c r="G170">
        <v>447</v>
      </c>
      <c r="H170">
        <v>332</v>
      </c>
      <c r="I170">
        <v>18324</v>
      </c>
      <c r="J170">
        <v>18164</v>
      </c>
      <c r="K170">
        <v>38</v>
      </c>
      <c r="L170" t="s">
        <v>494</v>
      </c>
      <c r="M170" t="s">
        <v>499</v>
      </c>
      <c r="N170">
        <f>SUM(F170:H170)/I170</f>
        <v>9.8068107400130972E-2</v>
      </c>
    </row>
    <row r="171" spans="1:14" x14ac:dyDescent="0.3">
      <c r="A171" t="s">
        <v>316</v>
      </c>
      <c r="B171" t="s">
        <v>23</v>
      </c>
      <c r="C171" s="24">
        <v>45722</v>
      </c>
      <c r="D171" t="s">
        <v>24</v>
      </c>
      <c r="E171" t="s">
        <v>521</v>
      </c>
      <c r="F171">
        <v>3592</v>
      </c>
      <c r="G171">
        <v>911</v>
      </c>
      <c r="H171">
        <v>375</v>
      </c>
      <c r="I171">
        <v>50288</v>
      </c>
      <c r="J171">
        <v>49490</v>
      </c>
      <c r="K171">
        <v>32</v>
      </c>
      <c r="L171" t="s">
        <v>494</v>
      </c>
      <c r="M171" t="s">
        <v>506</v>
      </c>
      <c r="N171">
        <f>SUM(F171:H171)/I171</f>
        <v>9.7001272669424113E-2</v>
      </c>
    </row>
    <row r="172" spans="1:14" x14ac:dyDescent="0.3">
      <c r="A172" t="s">
        <v>267</v>
      </c>
      <c r="B172" t="s">
        <v>38</v>
      </c>
      <c r="C172" s="24">
        <v>45668</v>
      </c>
      <c r="D172" t="s">
        <v>20</v>
      </c>
      <c r="E172" t="s">
        <v>518</v>
      </c>
      <c r="F172">
        <v>4523</v>
      </c>
      <c r="G172">
        <v>61</v>
      </c>
      <c r="H172">
        <v>157</v>
      </c>
      <c r="I172">
        <v>49753</v>
      </c>
      <c r="J172">
        <v>49329</v>
      </c>
      <c r="K172">
        <v>71</v>
      </c>
      <c r="L172" t="s">
        <v>505</v>
      </c>
      <c r="N172">
        <f>SUM(F172:H172)/I172</f>
        <v>9.5290736237010829E-2</v>
      </c>
    </row>
    <row r="173" spans="1:14" x14ac:dyDescent="0.3">
      <c r="A173" t="s">
        <v>176</v>
      </c>
      <c r="B173" t="s">
        <v>38</v>
      </c>
      <c r="C173" s="24">
        <v>45584</v>
      </c>
      <c r="D173" t="s">
        <v>57</v>
      </c>
      <c r="E173" t="s">
        <v>504</v>
      </c>
      <c r="F173">
        <v>1816</v>
      </c>
      <c r="G173">
        <v>29</v>
      </c>
      <c r="H173">
        <v>41</v>
      </c>
      <c r="I173">
        <v>19976</v>
      </c>
      <c r="J173">
        <v>19262</v>
      </c>
      <c r="K173">
        <v>283</v>
      </c>
      <c r="L173" t="s">
        <v>498</v>
      </c>
      <c r="M173" t="s">
        <v>503</v>
      </c>
      <c r="N173">
        <f>SUM(F173:H173)/I173</f>
        <v>9.4413295955146179E-2</v>
      </c>
    </row>
    <row r="174" spans="1:14" x14ac:dyDescent="0.3">
      <c r="A174" t="s">
        <v>328</v>
      </c>
      <c r="B174" t="s">
        <v>18</v>
      </c>
      <c r="C174" s="24">
        <v>45782</v>
      </c>
      <c r="D174" t="s">
        <v>45</v>
      </c>
      <c r="E174" t="s">
        <v>510</v>
      </c>
      <c r="F174">
        <v>4441</v>
      </c>
      <c r="G174">
        <v>511</v>
      </c>
      <c r="H174">
        <v>70</v>
      </c>
      <c r="I174">
        <v>53292</v>
      </c>
      <c r="J174">
        <v>53082</v>
      </c>
      <c r="K174">
        <v>159</v>
      </c>
      <c r="L174" t="s">
        <v>505</v>
      </c>
      <c r="M174" t="s">
        <v>506</v>
      </c>
      <c r="N174">
        <f>SUM(F174:H174)/I174</f>
        <v>9.4235532537716729E-2</v>
      </c>
    </row>
    <row r="175" spans="1:14" x14ac:dyDescent="0.3">
      <c r="A175" t="s">
        <v>50</v>
      </c>
      <c r="B175" t="s">
        <v>501</v>
      </c>
      <c r="C175" s="24">
        <v>45594</v>
      </c>
      <c r="D175" t="s">
        <v>45</v>
      </c>
      <c r="E175" t="s">
        <v>519</v>
      </c>
      <c r="F175">
        <v>2746</v>
      </c>
      <c r="G175">
        <v>156</v>
      </c>
      <c r="H175">
        <v>203</v>
      </c>
      <c r="I175">
        <v>32952</v>
      </c>
      <c r="J175">
        <v>32147</v>
      </c>
      <c r="K175">
        <v>147</v>
      </c>
      <c r="L175" t="s">
        <v>505</v>
      </c>
      <c r="M175" t="s">
        <v>495</v>
      </c>
      <c r="N175">
        <f>SUM(F175:H175)/I175</f>
        <v>9.422796795338674E-2</v>
      </c>
    </row>
    <row r="176" spans="1:14" x14ac:dyDescent="0.3">
      <c r="A176" t="s">
        <v>293</v>
      </c>
      <c r="B176" t="s">
        <v>23</v>
      </c>
      <c r="C176" s="24">
        <v>45724</v>
      </c>
      <c r="D176" t="s">
        <v>45</v>
      </c>
      <c r="E176" t="s">
        <v>497</v>
      </c>
      <c r="F176">
        <v>1292</v>
      </c>
      <c r="G176">
        <v>626</v>
      </c>
      <c r="H176">
        <v>496</v>
      </c>
      <c r="I176">
        <v>25840</v>
      </c>
      <c r="J176">
        <v>24916</v>
      </c>
      <c r="K176">
        <v>149</v>
      </c>
      <c r="L176" t="s">
        <v>494</v>
      </c>
      <c r="M176" t="s">
        <v>503</v>
      </c>
      <c r="N176">
        <f>SUM(F176:H176)/I176</f>
        <v>9.3421052631578946E-2</v>
      </c>
    </row>
    <row r="177" spans="1:14" x14ac:dyDescent="0.3">
      <c r="A177" t="s">
        <v>153</v>
      </c>
      <c r="B177" t="s">
        <v>38</v>
      </c>
      <c r="C177" s="24">
        <v>45465</v>
      </c>
      <c r="D177" t="s">
        <v>45</v>
      </c>
      <c r="E177" t="s">
        <v>520</v>
      </c>
      <c r="F177">
        <v>2180</v>
      </c>
      <c r="G177">
        <v>263</v>
      </c>
      <c r="H177">
        <v>387</v>
      </c>
      <c r="I177">
        <v>30520</v>
      </c>
      <c r="J177">
        <v>30059</v>
      </c>
      <c r="K177">
        <v>174</v>
      </c>
      <c r="L177" t="s">
        <v>505</v>
      </c>
      <c r="N177">
        <f>SUM(F177:H177)/I177</f>
        <v>9.2726081258191345E-2</v>
      </c>
    </row>
    <row r="178" spans="1:14" x14ac:dyDescent="0.3">
      <c r="A178" t="s">
        <v>274</v>
      </c>
      <c r="B178" t="s">
        <v>501</v>
      </c>
      <c r="C178" s="24">
        <v>45698</v>
      </c>
      <c r="D178" t="s">
        <v>14</v>
      </c>
      <c r="E178" t="s">
        <v>526</v>
      </c>
      <c r="F178">
        <v>1766</v>
      </c>
      <c r="G178">
        <v>92</v>
      </c>
      <c r="H178">
        <v>424</v>
      </c>
      <c r="I178">
        <v>24724</v>
      </c>
      <c r="J178">
        <v>24333</v>
      </c>
      <c r="K178">
        <v>52</v>
      </c>
      <c r="L178" t="s">
        <v>505</v>
      </c>
      <c r="N178">
        <f>SUM(F178:H178)/I178</f>
        <v>9.2298980747451867E-2</v>
      </c>
    </row>
    <row r="179" spans="1:14" x14ac:dyDescent="0.3">
      <c r="A179" t="s">
        <v>207</v>
      </c>
      <c r="B179" t="s">
        <v>18</v>
      </c>
      <c r="C179" s="24">
        <v>45460</v>
      </c>
      <c r="D179" t="s">
        <v>24</v>
      </c>
      <c r="E179" t="s">
        <v>511</v>
      </c>
      <c r="F179">
        <v>1226</v>
      </c>
      <c r="G179">
        <v>119</v>
      </c>
      <c r="H179">
        <v>7</v>
      </c>
      <c r="I179">
        <v>14712</v>
      </c>
      <c r="J179">
        <v>14049</v>
      </c>
      <c r="K179">
        <v>123</v>
      </c>
      <c r="L179" t="s">
        <v>505</v>
      </c>
      <c r="M179" t="s">
        <v>506</v>
      </c>
      <c r="N179">
        <f>SUM(F179:H179)/I179</f>
        <v>9.1897770527460579E-2</v>
      </c>
    </row>
    <row r="180" spans="1:14" x14ac:dyDescent="0.3">
      <c r="A180" t="s">
        <v>269</v>
      </c>
      <c r="B180" t="s">
        <v>38</v>
      </c>
      <c r="C180" s="24">
        <v>45483</v>
      </c>
      <c r="D180" t="s">
        <v>20</v>
      </c>
      <c r="E180" t="s">
        <v>518</v>
      </c>
      <c r="F180">
        <v>3099</v>
      </c>
      <c r="G180">
        <v>694</v>
      </c>
      <c r="H180">
        <v>171</v>
      </c>
      <c r="I180">
        <v>43386</v>
      </c>
      <c r="J180">
        <v>42921</v>
      </c>
      <c r="K180">
        <v>52</v>
      </c>
      <c r="L180" t="s">
        <v>498</v>
      </c>
      <c r="M180" t="s">
        <v>503</v>
      </c>
      <c r="N180">
        <f>SUM(F180:H180)/I180</f>
        <v>9.1365878393951966E-2</v>
      </c>
    </row>
    <row r="181" spans="1:14" x14ac:dyDescent="0.3">
      <c r="A181" t="s">
        <v>119</v>
      </c>
      <c r="B181" t="s">
        <v>23</v>
      </c>
      <c r="C181" s="24">
        <v>45528</v>
      </c>
      <c r="D181" t="s">
        <v>14</v>
      </c>
      <c r="E181" t="s">
        <v>522</v>
      </c>
      <c r="F181">
        <v>1082</v>
      </c>
      <c r="G181">
        <v>209</v>
      </c>
      <c r="H181">
        <v>484</v>
      </c>
      <c r="I181">
        <v>19476</v>
      </c>
      <c r="J181">
        <v>18654</v>
      </c>
      <c r="K181">
        <v>20</v>
      </c>
      <c r="L181" t="s">
        <v>498</v>
      </c>
      <c r="N181">
        <f>SUM(F181:H181)/I181</f>
        <v>9.1137810638734856E-2</v>
      </c>
    </row>
    <row r="182" spans="1:14" x14ac:dyDescent="0.3">
      <c r="A182" t="s">
        <v>136</v>
      </c>
      <c r="B182" t="s">
        <v>23</v>
      </c>
      <c r="C182" s="24">
        <v>45649</v>
      </c>
      <c r="D182" t="s">
        <v>53</v>
      </c>
      <c r="E182" t="s">
        <v>493</v>
      </c>
      <c r="F182">
        <v>1461</v>
      </c>
      <c r="G182">
        <v>184</v>
      </c>
      <c r="H182">
        <v>344</v>
      </c>
      <c r="I182">
        <v>21915</v>
      </c>
      <c r="J182">
        <v>21675</v>
      </c>
      <c r="K182">
        <v>15</v>
      </c>
      <c r="L182" t="s">
        <v>494</v>
      </c>
      <c r="M182" t="s">
        <v>495</v>
      </c>
      <c r="N182">
        <f>SUM(F182:H182)/I182</f>
        <v>9.0759753593429152E-2</v>
      </c>
    </row>
    <row r="183" spans="1:14" x14ac:dyDescent="0.3">
      <c r="A183" t="s">
        <v>136</v>
      </c>
      <c r="B183" t="s">
        <v>23</v>
      </c>
      <c r="C183" s="24">
        <v>45649</v>
      </c>
      <c r="D183" t="s">
        <v>53</v>
      </c>
      <c r="E183" t="s">
        <v>493</v>
      </c>
      <c r="F183">
        <v>1461</v>
      </c>
      <c r="G183">
        <v>184</v>
      </c>
      <c r="H183">
        <v>344</v>
      </c>
      <c r="I183">
        <v>21915</v>
      </c>
      <c r="J183">
        <v>21675</v>
      </c>
      <c r="K183">
        <v>15</v>
      </c>
      <c r="L183" t="s">
        <v>496</v>
      </c>
      <c r="M183" t="s">
        <v>495</v>
      </c>
      <c r="N183">
        <f>SUM(F183:H183)/I183</f>
        <v>9.0759753593429152E-2</v>
      </c>
    </row>
    <row r="184" spans="1:14" x14ac:dyDescent="0.3">
      <c r="A184" t="s">
        <v>227</v>
      </c>
      <c r="B184" t="s">
        <v>23</v>
      </c>
      <c r="C184" s="24">
        <v>45672</v>
      </c>
      <c r="D184" t="s">
        <v>53</v>
      </c>
      <c r="E184" t="s">
        <v>493</v>
      </c>
      <c r="F184">
        <v>802</v>
      </c>
      <c r="G184">
        <v>262</v>
      </c>
      <c r="H184">
        <v>244</v>
      </c>
      <c r="I184">
        <v>14436</v>
      </c>
      <c r="J184">
        <v>14280</v>
      </c>
      <c r="K184">
        <v>49</v>
      </c>
      <c r="L184" t="s">
        <v>505</v>
      </c>
      <c r="M184" t="s">
        <v>495</v>
      </c>
      <c r="N184">
        <f>SUM(F184:H184)/I184</f>
        <v>9.0606816292601824E-2</v>
      </c>
    </row>
    <row r="185" spans="1:14" x14ac:dyDescent="0.3">
      <c r="A185" t="s">
        <v>344</v>
      </c>
      <c r="B185" t="s">
        <v>501</v>
      </c>
      <c r="C185" s="24">
        <v>45629</v>
      </c>
      <c r="D185" t="s">
        <v>45</v>
      </c>
      <c r="E185" t="s">
        <v>519</v>
      </c>
      <c r="F185">
        <v>3711</v>
      </c>
      <c r="G185">
        <v>352</v>
      </c>
      <c r="H185">
        <v>290</v>
      </c>
      <c r="I185">
        <v>48243</v>
      </c>
      <c r="J185">
        <v>47579</v>
      </c>
      <c r="K185">
        <v>11</v>
      </c>
      <c r="L185" t="s">
        <v>498</v>
      </c>
      <c r="M185" t="s">
        <v>495</v>
      </c>
      <c r="N185">
        <f>SUM(F185:H185)/I185</f>
        <v>9.023070704558174E-2</v>
      </c>
    </row>
    <row r="186" spans="1:14" x14ac:dyDescent="0.3">
      <c r="A186" t="s">
        <v>330</v>
      </c>
      <c r="B186" t="s">
        <v>501</v>
      </c>
      <c r="C186" s="24">
        <v>45752</v>
      </c>
      <c r="D186" t="s">
        <v>53</v>
      </c>
      <c r="E186" t="s">
        <v>502</v>
      </c>
      <c r="F186">
        <v>3009</v>
      </c>
      <c r="G186">
        <v>413</v>
      </c>
      <c r="H186">
        <v>358</v>
      </c>
      <c r="I186">
        <v>42126</v>
      </c>
      <c r="J186">
        <v>41309</v>
      </c>
      <c r="K186">
        <v>211</v>
      </c>
      <c r="L186" t="s">
        <v>494</v>
      </c>
      <c r="M186" t="s">
        <v>499</v>
      </c>
      <c r="N186">
        <f>SUM(F186:H186)/I186</f>
        <v>8.9730807577268201E-2</v>
      </c>
    </row>
    <row r="187" spans="1:14" x14ac:dyDescent="0.3">
      <c r="A187" t="s">
        <v>52</v>
      </c>
      <c r="B187" t="s">
        <v>501</v>
      </c>
      <c r="C187" s="24">
        <v>45564</v>
      </c>
      <c r="D187" t="s">
        <v>53</v>
      </c>
      <c r="E187" t="s">
        <v>502</v>
      </c>
      <c r="F187">
        <v>2936</v>
      </c>
      <c r="G187">
        <v>439</v>
      </c>
      <c r="H187">
        <v>44</v>
      </c>
      <c r="I187">
        <v>38168</v>
      </c>
      <c r="J187">
        <v>37571</v>
      </c>
      <c r="K187">
        <v>22</v>
      </c>
      <c r="L187" t="s">
        <v>505</v>
      </c>
      <c r="M187" t="s">
        <v>506</v>
      </c>
      <c r="N187">
        <f>SUM(F187:H187)/I187</f>
        <v>8.9577656675749323E-2</v>
      </c>
    </row>
    <row r="188" spans="1:14" x14ac:dyDescent="0.3">
      <c r="A188" t="s">
        <v>282</v>
      </c>
      <c r="B188" t="s">
        <v>38</v>
      </c>
      <c r="C188" s="24">
        <v>45574</v>
      </c>
      <c r="D188" t="s">
        <v>20</v>
      </c>
      <c r="E188" t="s">
        <v>518</v>
      </c>
      <c r="F188">
        <v>3068</v>
      </c>
      <c r="G188">
        <v>137</v>
      </c>
      <c r="H188">
        <v>329</v>
      </c>
      <c r="I188">
        <v>39884</v>
      </c>
      <c r="J188">
        <v>39404</v>
      </c>
      <c r="K188">
        <v>266</v>
      </c>
      <c r="L188" t="s">
        <v>505</v>
      </c>
      <c r="M188" t="s">
        <v>499</v>
      </c>
      <c r="N188">
        <f>SUM(F188:H188)/I188</f>
        <v>8.860696018453515E-2</v>
      </c>
    </row>
    <row r="189" spans="1:14" x14ac:dyDescent="0.3">
      <c r="A189" t="s">
        <v>356</v>
      </c>
      <c r="B189" t="s">
        <v>501</v>
      </c>
      <c r="C189" s="24">
        <v>45719</v>
      </c>
      <c r="D189" t="s">
        <v>53</v>
      </c>
      <c r="E189" t="s">
        <v>502</v>
      </c>
      <c r="F189">
        <v>296</v>
      </c>
      <c r="G189">
        <v>60</v>
      </c>
      <c r="H189">
        <v>141</v>
      </c>
      <c r="I189">
        <v>5624</v>
      </c>
      <c r="J189">
        <v>5239</v>
      </c>
      <c r="K189">
        <v>88</v>
      </c>
      <c r="L189" t="s">
        <v>505</v>
      </c>
      <c r="M189" t="s">
        <v>499</v>
      </c>
      <c r="N189">
        <f>SUM(F189:H189)/I189</f>
        <v>8.837126600284495E-2</v>
      </c>
    </row>
    <row r="190" spans="1:14" x14ac:dyDescent="0.3">
      <c r="A190" t="s">
        <v>44</v>
      </c>
      <c r="B190" t="s">
        <v>18</v>
      </c>
      <c r="C190" s="24">
        <v>45534</v>
      </c>
      <c r="D190" t="s">
        <v>45</v>
      </c>
      <c r="E190" t="s">
        <v>510</v>
      </c>
      <c r="F190">
        <v>3784</v>
      </c>
      <c r="G190">
        <v>808</v>
      </c>
      <c r="H190">
        <v>404</v>
      </c>
      <c r="I190">
        <v>56760</v>
      </c>
      <c r="J190">
        <v>56343</v>
      </c>
      <c r="K190">
        <v>131</v>
      </c>
      <c r="L190" t="s">
        <v>498</v>
      </c>
      <c r="M190" t="s">
        <v>499</v>
      </c>
      <c r="N190">
        <f>SUM(F190:H190)/I190</f>
        <v>8.8019732205778717E-2</v>
      </c>
    </row>
    <row r="191" spans="1:14" x14ac:dyDescent="0.3">
      <c r="A191" t="s">
        <v>253</v>
      </c>
      <c r="B191" t="s">
        <v>38</v>
      </c>
      <c r="C191" s="24">
        <v>45700</v>
      </c>
      <c r="D191" t="s">
        <v>57</v>
      </c>
      <c r="E191" t="s">
        <v>504</v>
      </c>
      <c r="F191">
        <v>4332</v>
      </c>
      <c r="G191">
        <v>771</v>
      </c>
      <c r="H191">
        <v>219</v>
      </c>
      <c r="I191">
        <v>60648</v>
      </c>
      <c r="J191">
        <v>60397</v>
      </c>
      <c r="K191">
        <v>10</v>
      </c>
      <c r="L191" t="s">
        <v>498</v>
      </c>
      <c r="M191" t="s">
        <v>503</v>
      </c>
      <c r="N191">
        <f>SUM(F191:H191)/I191</f>
        <v>8.7752275425405618E-2</v>
      </c>
    </row>
    <row r="192" spans="1:14" x14ac:dyDescent="0.3">
      <c r="A192" t="s">
        <v>253</v>
      </c>
      <c r="B192" t="s">
        <v>38</v>
      </c>
      <c r="C192" s="24">
        <v>45700</v>
      </c>
      <c r="D192" t="s">
        <v>57</v>
      </c>
      <c r="E192" t="s">
        <v>504</v>
      </c>
      <c r="F192">
        <v>4332</v>
      </c>
      <c r="G192">
        <v>771</v>
      </c>
      <c r="H192">
        <v>219</v>
      </c>
      <c r="I192">
        <v>60648</v>
      </c>
      <c r="J192">
        <v>60397</v>
      </c>
      <c r="K192">
        <v>10</v>
      </c>
      <c r="L192" t="s">
        <v>505</v>
      </c>
      <c r="M192" t="s">
        <v>503</v>
      </c>
      <c r="N192">
        <f>SUM(F192:H192)/I192</f>
        <v>8.7752275425405618E-2</v>
      </c>
    </row>
    <row r="193" spans="1:14" x14ac:dyDescent="0.3">
      <c r="A193" t="s">
        <v>253</v>
      </c>
      <c r="B193" t="s">
        <v>38</v>
      </c>
      <c r="C193" s="24">
        <v>45700</v>
      </c>
      <c r="D193" t="s">
        <v>57</v>
      </c>
      <c r="E193" t="s">
        <v>504</v>
      </c>
      <c r="F193">
        <v>4332</v>
      </c>
      <c r="G193">
        <v>771</v>
      </c>
      <c r="H193">
        <v>219</v>
      </c>
      <c r="I193">
        <v>60648</v>
      </c>
      <c r="J193">
        <v>60397</v>
      </c>
      <c r="K193">
        <v>10</v>
      </c>
      <c r="L193" t="s">
        <v>500</v>
      </c>
      <c r="M193" t="s">
        <v>503</v>
      </c>
      <c r="N193">
        <f>SUM(F193:H193)/I193</f>
        <v>8.7752275425405618E-2</v>
      </c>
    </row>
    <row r="194" spans="1:14" x14ac:dyDescent="0.3">
      <c r="A194" t="s">
        <v>193</v>
      </c>
      <c r="B194" t="s">
        <v>23</v>
      </c>
      <c r="C194" s="24">
        <v>45491</v>
      </c>
      <c r="D194" t="s">
        <v>24</v>
      </c>
      <c r="E194" t="s">
        <v>521</v>
      </c>
      <c r="F194">
        <v>827</v>
      </c>
      <c r="G194">
        <v>77</v>
      </c>
      <c r="H194">
        <v>402</v>
      </c>
      <c r="I194">
        <v>14886</v>
      </c>
      <c r="J194">
        <v>14129</v>
      </c>
      <c r="K194">
        <v>254</v>
      </c>
      <c r="L194" t="s">
        <v>505</v>
      </c>
      <c r="M194" t="s">
        <v>499</v>
      </c>
      <c r="N194">
        <f>SUM(F194:H194)/I194</f>
        <v>8.7733440816874911E-2</v>
      </c>
    </row>
    <row r="195" spans="1:14" x14ac:dyDescent="0.3">
      <c r="A195" t="s">
        <v>237</v>
      </c>
      <c r="B195" t="s">
        <v>38</v>
      </c>
      <c r="C195" s="24">
        <v>45517</v>
      </c>
      <c r="D195" t="s">
        <v>24</v>
      </c>
      <c r="E195" t="s">
        <v>525</v>
      </c>
      <c r="F195">
        <v>4739</v>
      </c>
      <c r="G195">
        <v>527</v>
      </c>
      <c r="H195">
        <v>135</v>
      </c>
      <c r="I195">
        <v>61607</v>
      </c>
      <c r="J195">
        <v>61333</v>
      </c>
      <c r="K195">
        <v>36</v>
      </c>
      <c r="L195" t="s">
        <v>498</v>
      </c>
      <c r="M195" t="s">
        <v>499</v>
      </c>
      <c r="N195">
        <f>SUM(F195:H195)/I195</f>
        <v>8.7668609086629767E-2</v>
      </c>
    </row>
    <row r="196" spans="1:14" x14ac:dyDescent="0.3">
      <c r="A196" t="s">
        <v>237</v>
      </c>
      <c r="B196" t="s">
        <v>38</v>
      </c>
      <c r="C196" s="24">
        <v>45517</v>
      </c>
      <c r="D196" t="s">
        <v>24</v>
      </c>
      <c r="E196" t="s">
        <v>525</v>
      </c>
      <c r="F196">
        <v>4739</v>
      </c>
      <c r="G196">
        <v>527</v>
      </c>
      <c r="H196">
        <v>135</v>
      </c>
      <c r="I196">
        <v>61607</v>
      </c>
      <c r="J196">
        <v>61333</v>
      </c>
      <c r="K196">
        <v>36</v>
      </c>
      <c r="L196" t="s">
        <v>496</v>
      </c>
      <c r="M196" t="s">
        <v>499</v>
      </c>
      <c r="N196">
        <f>SUM(F196:H196)/I196</f>
        <v>8.7668609086629767E-2</v>
      </c>
    </row>
    <row r="197" spans="1:14" x14ac:dyDescent="0.3">
      <c r="A197" t="s">
        <v>347</v>
      </c>
      <c r="B197" t="s">
        <v>23</v>
      </c>
      <c r="C197" s="24">
        <v>45507</v>
      </c>
      <c r="D197" t="s">
        <v>53</v>
      </c>
      <c r="E197" t="s">
        <v>493</v>
      </c>
      <c r="F197">
        <v>3791</v>
      </c>
      <c r="G197">
        <v>593</v>
      </c>
      <c r="H197">
        <v>228</v>
      </c>
      <c r="I197">
        <v>53074</v>
      </c>
      <c r="J197">
        <v>52613</v>
      </c>
      <c r="K197">
        <v>205</v>
      </c>
      <c r="L197" t="s">
        <v>505</v>
      </c>
      <c r="N197">
        <f>SUM(F197:H197)/I197</f>
        <v>8.6897539284772202E-2</v>
      </c>
    </row>
    <row r="198" spans="1:14" x14ac:dyDescent="0.3">
      <c r="A198" t="s">
        <v>280</v>
      </c>
      <c r="B198" t="s">
        <v>18</v>
      </c>
      <c r="C198" s="24">
        <v>45635</v>
      </c>
      <c r="D198" t="s">
        <v>24</v>
      </c>
      <c r="E198" t="s">
        <v>511</v>
      </c>
      <c r="F198">
        <v>1841</v>
      </c>
      <c r="G198">
        <v>851</v>
      </c>
      <c r="H198">
        <v>342</v>
      </c>
      <c r="I198">
        <v>34979</v>
      </c>
      <c r="J198">
        <v>34154</v>
      </c>
      <c r="K198">
        <v>255</v>
      </c>
      <c r="L198" t="s">
        <v>494</v>
      </c>
      <c r="M198" t="s">
        <v>506</v>
      </c>
      <c r="N198">
        <f>SUM(F198:H198)/I198</f>
        <v>8.6737756939878216E-2</v>
      </c>
    </row>
    <row r="199" spans="1:14" x14ac:dyDescent="0.3">
      <c r="A199" t="s">
        <v>380</v>
      </c>
      <c r="B199" t="s">
        <v>18</v>
      </c>
      <c r="C199" s="24">
        <v>45748</v>
      </c>
      <c r="D199" t="s">
        <v>57</v>
      </c>
      <c r="E199" t="s">
        <v>514</v>
      </c>
      <c r="F199">
        <v>3430</v>
      </c>
      <c r="G199">
        <v>566</v>
      </c>
      <c r="H199">
        <v>164</v>
      </c>
      <c r="I199">
        <v>48020</v>
      </c>
      <c r="J199">
        <v>47305</v>
      </c>
      <c r="K199">
        <v>120</v>
      </c>
      <c r="L199" t="s">
        <v>494</v>
      </c>
      <c r="N199">
        <f>SUM(F199:H199)/I199</f>
        <v>8.6630570595585168E-2</v>
      </c>
    </row>
    <row r="200" spans="1:14" x14ac:dyDescent="0.3">
      <c r="A200" t="s">
        <v>124</v>
      </c>
      <c r="B200" t="s">
        <v>501</v>
      </c>
      <c r="C200" s="24">
        <v>45467</v>
      </c>
      <c r="D200" t="s">
        <v>14</v>
      </c>
      <c r="E200" t="s">
        <v>526</v>
      </c>
      <c r="F200">
        <v>2949</v>
      </c>
      <c r="G200">
        <v>476</v>
      </c>
      <c r="H200">
        <v>403</v>
      </c>
      <c r="I200">
        <v>44235</v>
      </c>
      <c r="J200">
        <v>43705</v>
      </c>
      <c r="K200">
        <v>135</v>
      </c>
      <c r="L200" t="s">
        <v>498</v>
      </c>
      <c r="M200" t="s">
        <v>499</v>
      </c>
      <c r="N200">
        <f>SUM(F200:H200)/I200</f>
        <v>8.6537809426924378E-2</v>
      </c>
    </row>
    <row r="201" spans="1:14" x14ac:dyDescent="0.3">
      <c r="A201" t="s">
        <v>99</v>
      </c>
      <c r="B201" t="s">
        <v>23</v>
      </c>
      <c r="C201" s="24">
        <v>45530</v>
      </c>
      <c r="D201" t="s">
        <v>20</v>
      </c>
      <c r="E201" t="s">
        <v>508</v>
      </c>
      <c r="F201">
        <v>929</v>
      </c>
      <c r="G201">
        <v>192</v>
      </c>
      <c r="H201">
        <v>322</v>
      </c>
      <c r="I201">
        <v>16722</v>
      </c>
      <c r="J201">
        <v>15996</v>
      </c>
      <c r="K201">
        <v>145</v>
      </c>
      <c r="L201" t="s">
        <v>505</v>
      </c>
      <c r="M201" t="s">
        <v>503</v>
      </c>
      <c r="N201">
        <f>SUM(F201:H201)/I201</f>
        <v>8.6293505561535699E-2</v>
      </c>
    </row>
    <row r="202" spans="1:14" x14ac:dyDescent="0.3">
      <c r="A202" t="s">
        <v>99</v>
      </c>
      <c r="B202" t="s">
        <v>23</v>
      </c>
      <c r="C202" s="24">
        <v>45530</v>
      </c>
      <c r="D202" t="s">
        <v>20</v>
      </c>
      <c r="E202" t="s">
        <v>508</v>
      </c>
      <c r="F202">
        <v>929</v>
      </c>
      <c r="G202">
        <v>192</v>
      </c>
      <c r="H202">
        <v>322</v>
      </c>
      <c r="I202">
        <v>16722</v>
      </c>
      <c r="J202">
        <v>15996</v>
      </c>
      <c r="K202">
        <v>145</v>
      </c>
      <c r="L202" t="s">
        <v>498</v>
      </c>
      <c r="M202" t="s">
        <v>503</v>
      </c>
      <c r="N202">
        <f>SUM(F202:H202)/I202</f>
        <v>8.6293505561535699E-2</v>
      </c>
    </row>
    <row r="203" spans="1:14" x14ac:dyDescent="0.3">
      <c r="A203" t="s">
        <v>99</v>
      </c>
      <c r="B203" t="s">
        <v>23</v>
      </c>
      <c r="C203" s="24">
        <v>45530</v>
      </c>
      <c r="D203" t="s">
        <v>20</v>
      </c>
      <c r="E203" t="s">
        <v>508</v>
      </c>
      <c r="F203">
        <v>929</v>
      </c>
      <c r="G203">
        <v>192</v>
      </c>
      <c r="H203">
        <v>322</v>
      </c>
      <c r="I203">
        <v>16722</v>
      </c>
      <c r="J203">
        <v>15996</v>
      </c>
      <c r="K203">
        <v>145</v>
      </c>
      <c r="L203" t="s">
        <v>496</v>
      </c>
      <c r="M203" t="s">
        <v>503</v>
      </c>
      <c r="N203">
        <f>SUM(F203:H203)/I203</f>
        <v>8.6293505561535699E-2</v>
      </c>
    </row>
    <row r="204" spans="1:14" x14ac:dyDescent="0.3">
      <c r="A204" t="s">
        <v>378</v>
      </c>
      <c r="B204" t="s">
        <v>38</v>
      </c>
      <c r="C204" s="24">
        <v>45778</v>
      </c>
      <c r="D204" t="s">
        <v>45</v>
      </c>
      <c r="E204" t="s">
        <v>520</v>
      </c>
      <c r="F204">
        <v>1430</v>
      </c>
      <c r="G204">
        <v>376</v>
      </c>
      <c r="H204">
        <v>33</v>
      </c>
      <c r="I204">
        <v>21450</v>
      </c>
      <c r="J204">
        <v>20509</v>
      </c>
      <c r="K204">
        <v>251</v>
      </c>
      <c r="L204" t="s">
        <v>494</v>
      </c>
      <c r="M204" t="s">
        <v>495</v>
      </c>
      <c r="N204">
        <f>SUM(F204:H204)/I204</f>
        <v>8.5734265734265735E-2</v>
      </c>
    </row>
    <row r="205" spans="1:14" x14ac:dyDescent="0.3">
      <c r="A205" t="s">
        <v>340</v>
      </c>
      <c r="B205" t="s">
        <v>38</v>
      </c>
      <c r="C205" s="24">
        <v>45692</v>
      </c>
      <c r="D205" t="s">
        <v>24</v>
      </c>
      <c r="E205" t="s">
        <v>525</v>
      </c>
      <c r="F205">
        <v>4619</v>
      </c>
      <c r="G205">
        <v>821</v>
      </c>
      <c r="H205">
        <v>499</v>
      </c>
      <c r="I205">
        <v>69285</v>
      </c>
      <c r="J205">
        <v>69141</v>
      </c>
      <c r="K205">
        <v>298</v>
      </c>
      <c r="L205" t="s">
        <v>498</v>
      </c>
      <c r="M205" t="s">
        <v>506</v>
      </c>
      <c r="N205">
        <f>SUM(F205:H205)/I205</f>
        <v>8.5718409468138843E-2</v>
      </c>
    </row>
    <row r="206" spans="1:14" x14ac:dyDescent="0.3">
      <c r="A206" t="s">
        <v>120</v>
      </c>
      <c r="B206" t="s">
        <v>38</v>
      </c>
      <c r="C206" s="24">
        <v>45497</v>
      </c>
      <c r="D206" t="s">
        <v>24</v>
      </c>
      <c r="E206" t="s">
        <v>525</v>
      </c>
      <c r="F206">
        <v>725</v>
      </c>
      <c r="G206">
        <v>88</v>
      </c>
      <c r="H206">
        <v>428</v>
      </c>
      <c r="I206">
        <v>14500</v>
      </c>
      <c r="J206">
        <v>13637</v>
      </c>
      <c r="K206">
        <v>200</v>
      </c>
      <c r="L206" t="s">
        <v>494</v>
      </c>
      <c r="M206" t="s">
        <v>503</v>
      </c>
      <c r="N206">
        <f>SUM(F206:H206)/I206</f>
        <v>8.558620689655172E-2</v>
      </c>
    </row>
    <row r="207" spans="1:14" x14ac:dyDescent="0.3">
      <c r="A207" t="s">
        <v>120</v>
      </c>
      <c r="B207" t="s">
        <v>38</v>
      </c>
      <c r="C207" s="24">
        <v>45497</v>
      </c>
      <c r="D207" t="s">
        <v>24</v>
      </c>
      <c r="E207" t="s">
        <v>525</v>
      </c>
      <c r="F207">
        <v>725</v>
      </c>
      <c r="G207">
        <v>88</v>
      </c>
      <c r="H207">
        <v>428</v>
      </c>
      <c r="I207">
        <v>14500</v>
      </c>
      <c r="J207">
        <v>13637</v>
      </c>
      <c r="K207">
        <v>200</v>
      </c>
      <c r="L207" t="s">
        <v>498</v>
      </c>
      <c r="M207" t="s">
        <v>503</v>
      </c>
      <c r="N207">
        <f>SUM(F207:H207)/I207</f>
        <v>8.558620689655172E-2</v>
      </c>
    </row>
    <row r="208" spans="1:14" x14ac:dyDescent="0.3">
      <c r="A208" t="s">
        <v>120</v>
      </c>
      <c r="B208" t="s">
        <v>38</v>
      </c>
      <c r="C208" s="24">
        <v>45497</v>
      </c>
      <c r="D208" t="s">
        <v>24</v>
      </c>
      <c r="E208" t="s">
        <v>525</v>
      </c>
      <c r="F208">
        <v>725</v>
      </c>
      <c r="G208">
        <v>88</v>
      </c>
      <c r="H208">
        <v>428</v>
      </c>
      <c r="I208">
        <v>14500</v>
      </c>
      <c r="J208">
        <v>13637</v>
      </c>
      <c r="K208">
        <v>200</v>
      </c>
      <c r="L208" t="s">
        <v>496</v>
      </c>
      <c r="M208" t="s">
        <v>503</v>
      </c>
      <c r="N208">
        <f>SUM(F208:H208)/I208</f>
        <v>8.558620689655172E-2</v>
      </c>
    </row>
    <row r="209" spans="1:14" x14ac:dyDescent="0.3">
      <c r="A209" t="s">
        <v>40</v>
      </c>
      <c r="B209" t="s">
        <v>501</v>
      </c>
      <c r="C209" s="24">
        <v>45626</v>
      </c>
      <c r="D209" t="s">
        <v>20</v>
      </c>
      <c r="E209" t="s">
        <v>513</v>
      </c>
      <c r="F209">
        <v>2509</v>
      </c>
      <c r="G209">
        <v>324</v>
      </c>
      <c r="H209">
        <v>171</v>
      </c>
      <c r="I209">
        <v>35126</v>
      </c>
      <c r="J209">
        <v>34685</v>
      </c>
      <c r="K209">
        <v>277</v>
      </c>
      <c r="L209" t="s">
        <v>498</v>
      </c>
      <c r="M209" t="s">
        <v>499</v>
      </c>
      <c r="N209">
        <f>SUM(F209:H209)/I209</f>
        <v>8.5520696919660646E-2</v>
      </c>
    </row>
    <row r="210" spans="1:14" x14ac:dyDescent="0.3">
      <c r="A210" t="s">
        <v>310</v>
      </c>
      <c r="B210" t="s">
        <v>501</v>
      </c>
      <c r="C210" s="24">
        <v>45449</v>
      </c>
      <c r="D210" t="s">
        <v>53</v>
      </c>
      <c r="E210" t="s">
        <v>502</v>
      </c>
      <c r="F210">
        <v>2728</v>
      </c>
      <c r="G210">
        <v>533</v>
      </c>
      <c r="H210">
        <v>215</v>
      </c>
      <c r="I210">
        <v>40920</v>
      </c>
      <c r="J210">
        <v>40816</v>
      </c>
      <c r="K210">
        <v>137</v>
      </c>
      <c r="L210" t="s">
        <v>494</v>
      </c>
      <c r="M210" t="s">
        <v>499</v>
      </c>
      <c r="N210">
        <f>SUM(F210:H210)/I210</f>
        <v>8.4946236559139784E-2</v>
      </c>
    </row>
    <row r="211" spans="1:14" x14ac:dyDescent="0.3">
      <c r="A211" t="s">
        <v>118</v>
      </c>
      <c r="B211" t="s">
        <v>18</v>
      </c>
      <c r="C211" s="24">
        <v>45528</v>
      </c>
      <c r="D211" t="s">
        <v>20</v>
      </c>
      <c r="E211" t="s">
        <v>507</v>
      </c>
      <c r="F211">
        <v>4292</v>
      </c>
      <c r="G211">
        <v>51</v>
      </c>
      <c r="H211">
        <v>392</v>
      </c>
      <c r="I211">
        <v>55796</v>
      </c>
      <c r="J211">
        <v>54826</v>
      </c>
      <c r="K211">
        <v>264</v>
      </c>
      <c r="L211" t="s">
        <v>505</v>
      </c>
      <c r="M211" t="s">
        <v>503</v>
      </c>
      <c r="N211">
        <f>SUM(F211:H211)/I211</f>
        <v>8.4862714173059003E-2</v>
      </c>
    </row>
    <row r="212" spans="1:14" x14ac:dyDescent="0.3">
      <c r="A212" t="s">
        <v>361</v>
      </c>
      <c r="B212" t="s">
        <v>501</v>
      </c>
      <c r="C212" s="24">
        <v>45567</v>
      </c>
      <c r="D212" t="s">
        <v>57</v>
      </c>
      <c r="E212" t="s">
        <v>524</v>
      </c>
      <c r="F212">
        <v>4350</v>
      </c>
      <c r="G212">
        <v>771</v>
      </c>
      <c r="H212">
        <v>7</v>
      </c>
      <c r="I212">
        <v>60900</v>
      </c>
      <c r="J212">
        <v>60592</v>
      </c>
      <c r="K212">
        <v>195</v>
      </c>
      <c r="L212" t="s">
        <v>505</v>
      </c>
      <c r="M212" t="s">
        <v>495</v>
      </c>
      <c r="N212">
        <f>SUM(F212:H212)/I212</f>
        <v>8.4203612479474554E-2</v>
      </c>
    </row>
    <row r="213" spans="1:14" x14ac:dyDescent="0.3">
      <c r="A213" t="s">
        <v>242</v>
      </c>
      <c r="B213" t="s">
        <v>38</v>
      </c>
      <c r="C213" s="24">
        <v>45760</v>
      </c>
      <c r="D213" t="s">
        <v>53</v>
      </c>
      <c r="E213" t="s">
        <v>516</v>
      </c>
      <c r="F213">
        <v>4579</v>
      </c>
      <c r="G213">
        <v>125</v>
      </c>
      <c r="H213">
        <v>300</v>
      </c>
      <c r="I213">
        <v>59527</v>
      </c>
      <c r="J213">
        <v>59400</v>
      </c>
      <c r="K213">
        <v>269</v>
      </c>
      <c r="L213" t="s">
        <v>505</v>
      </c>
      <c r="M213" t="s">
        <v>495</v>
      </c>
      <c r="N213">
        <f>SUM(F213:H213)/I213</f>
        <v>8.4062694239588759E-2</v>
      </c>
    </row>
    <row r="214" spans="1:14" x14ac:dyDescent="0.3">
      <c r="A214" t="s">
        <v>145</v>
      </c>
      <c r="B214" t="s">
        <v>23</v>
      </c>
      <c r="C214" s="24">
        <v>45648</v>
      </c>
      <c r="D214" t="s">
        <v>53</v>
      </c>
      <c r="E214" t="s">
        <v>493</v>
      </c>
      <c r="F214">
        <v>1644</v>
      </c>
      <c r="G214">
        <v>546</v>
      </c>
      <c r="H214">
        <v>150</v>
      </c>
      <c r="I214">
        <v>27948</v>
      </c>
      <c r="J214">
        <v>27184</v>
      </c>
      <c r="K214">
        <v>300</v>
      </c>
      <c r="L214" t="s">
        <v>505</v>
      </c>
      <c r="M214" t="s">
        <v>503</v>
      </c>
      <c r="N214">
        <f>SUM(F214:H214)/I214</f>
        <v>8.3726921425504502E-2</v>
      </c>
    </row>
    <row r="215" spans="1:14" x14ac:dyDescent="0.3">
      <c r="A215" t="s">
        <v>84</v>
      </c>
      <c r="B215" t="s">
        <v>38</v>
      </c>
      <c r="C215" s="24">
        <v>45592</v>
      </c>
      <c r="D215" t="s">
        <v>24</v>
      </c>
      <c r="E215" t="s">
        <v>525</v>
      </c>
      <c r="F215">
        <v>4853</v>
      </c>
      <c r="G215">
        <v>837</v>
      </c>
      <c r="H215">
        <v>340</v>
      </c>
      <c r="I215">
        <v>72795</v>
      </c>
      <c r="J215">
        <v>72237</v>
      </c>
      <c r="K215">
        <v>170</v>
      </c>
      <c r="L215" t="s">
        <v>505</v>
      </c>
      <c r="M215" t="s">
        <v>495</v>
      </c>
      <c r="N215">
        <f>SUM(F215:H215)/I215</f>
        <v>8.2835359571399134E-2</v>
      </c>
    </row>
    <row r="216" spans="1:14" x14ac:dyDescent="0.3">
      <c r="A216" t="s">
        <v>183</v>
      </c>
      <c r="B216" t="s">
        <v>23</v>
      </c>
      <c r="C216" s="24">
        <v>45735</v>
      </c>
      <c r="D216" t="s">
        <v>14</v>
      </c>
      <c r="E216" t="s">
        <v>522</v>
      </c>
      <c r="F216">
        <v>3160</v>
      </c>
      <c r="G216">
        <v>204</v>
      </c>
      <c r="H216">
        <v>297</v>
      </c>
      <c r="I216">
        <v>44240</v>
      </c>
      <c r="J216">
        <v>43666</v>
      </c>
      <c r="K216">
        <v>49</v>
      </c>
      <c r="L216" t="s">
        <v>494</v>
      </c>
      <c r="M216" t="s">
        <v>506</v>
      </c>
      <c r="N216">
        <f>SUM(F216:H216)/I216</f>
        <v>8.2753164556962022E-2</v>
      </c>
    </row>
    <row r="217" spans="1:14" x14ac:dyDescent="0.3">
      <c r="A217" t="s">
        <v>183</v>
      </c>
      <c r="B217" t="s">
        <v>23</v>
      </c>
      <c r="C217" s="24">
        <v>45735</v>
      </c>
      <c r="D217" t="s">
        <v>14</v>
      </c>
      <c r="E217" t="s">
        <v>522</v>
      </c>
      <c r="F217">
        <v>3160</v>
      </c>
      <c r="G217">
        <v>204</v>
      </c>
      <c r="H217">
        <v>297</v>
      </c>
      <c r="I217">
        <v>44240</v>
      </c>
      <c r="J217">
        <v>43666</v>
      </c>
      <c r="K217">
        <v>49</v>
      </c>
      <c r="L217" t="s">
        <v>496</v>
      </c>
      <c r="M217" t="s">
        <v>506</v>
      </c>
      <c r="N217">
        <f>SUM(F217:H217)/I217</f>
        <v>8.2753164556962022E-2</v>
      </c>
    </row>
    <row r="218" spans="1:14" x14ac:dyDescent="0.3">
      <c r="A218" t="s">
        <v>379</v>
      </c>
      <c r="B218" t="s">
        <v>18</v>
      </c>
      <c r="C218" s="24">
        <v>45778</v>
      </c>
      <c r="D218" t="s">
        <v>20</v>
      </c>
      <c r="E218" t="s">
        <v>507</v>
      </c>
      <c r="F218">
        <v>2696</v>
      </c>
      <c r="G218">
        <v>628</v>
      </c>
      <c r="H218">
        <v>443</v>
      </c>
      <c r="I218">
        <v>45832</v>
      </c>
      <c r="J218">
        <v>45632</v>
      </c>
      <c r="K218">
        <v>248</v>
      </c>
      <c r="L218" t="s">
        <v>505</v>
      </c>
      <c r="M218" t="s">
        <v>506</v>
      </c>
      <c r="N218">
        <f>SUM(F218:H218)/I218</f>
        <v>8.21914819340199E-2</v>
      </c>
    </row>
    <row r="219" spans="1:14" x14ac:dyDescent="0.3">
      <c r="A219" t="s">
        <v>366</v>
      </c>
      <c r="B219" t="s">
        <v>18</v>
      </c>
      <c r="C219" s="24">
        <v>45445</v>
      </c>
      <c r="D219" t="s">
        <v>24</v>
      </c>
      <c r="E219" t="s">
        <v>511</v>
      </c>
      <c r="F219">
        <v>1871</v>
      </c>
      <c r="G219">
        <v>252</v>
      </c>
      <c r="H219">
        <v>335</v>
      </c>
      <c r="I219">
        <v>29936</v>
      </c>
      <c r="J219">
        <v>29576</v>
      </c>
      <c r="K219">
        <v>288</v>
      </c>
      <c r="L219" t="s">
        <v>505</v>
      </c>
      <c r="M219" t="s">
        <v>503</v>
      </c>
      <c r="N219">
        <f>SUM(F219:H219)/I219</f>
        <v>8.2108498129342594E-2</v>
      </c>
    </row>
    <row r="220" spans="1:14" x14ac:dyDescent="0.3">
      <c r="A220" t="s">
        <v>205</v>
      </c>
      <c r="B220" t="s">
        <v>23</v>
      </c>
      <c r="C220" s="24">
        <v>45460</v>
      </c>
      <c r="D220" t="s">
        <v>24</v>
      </c>
      <c r="E220" t="s">
        <v>521</v>
      </c>
      <c r="F220">
        <v>954</v>
      </c>
      <c r="G220">
        <v>324</v>
      </c>
      <c r="H220">
        <v>288</v>
      </c>
      <c r="I220">
        <v>19080</v>
      </c>
      <c r="J220">
        <v>18859</v>
      </c>
      <c r="K220">
        <v>21</v>
      </c>
      <c r="L220" t="s">
        <v>494</v>
      </c>
      <c r="M220" t="s">
        <v>506</v>
      </c>
      <c r="N220">
        <f>SUM(F220:H220)/I220</f>
        <v>8.2075471698113203E-2</v>
      </c>
    </row>
    <row r="221" spans="1:14" x14ac:dyDescent="0.3">
      <c r="A221" t="s">
        <v>204</v>
      </c>
      <c r="B221" t="s">
        <v>18</v>
      </c>
      <c r="C221" s="24">
        <v>45521</v>
      </c>
      <c r="D221" t="s">
        <v>24</v>
      </c>
      <c r="E221" t="s">
        <v>511</v>
      </c>
      <c r="F221">
        <v>2878</v>
      </c>
      <c r="G221">
        <v>248</v>
      </c>
      <c r="H221">
        <v>416</v>
      </c>
      <c r="I221">
        <v>43170</v>
      </c>
      <c r="J221">
        <v>42667</v>
      </c>
      <c r="K221">
        <v>75</v>
      </c>
      <c r="L221" t="s">
        <v>494</v>
      </c>
      <c r="M221" t="s">
        <v>503</v>
      </c>
      <c r="N221">
        <f>SUM(F221:H221)/I221</f>
        <v>8.2047718322909427E-2</v>
      </c>
    </row>
    <row r="222" spans="1:14" x14ac:dyDescent="0.3">
      <c r="A222" t="s">
        <v>375</v>
      </c>
      <c r="B222" t="s">
        <v>38</v>
      </c>
      <c r="C222" s="24">
        <v>45474</v>
      </c>
      <c r="D222" t="s">
        <v>57</v>
      </c>
      <c r="E222" t="s">
        <v>504</v>
      </c>
      <c r="F222">
        <v>4808</v>
      </c>
      <c r="G222">
        <v>772</v>
      </c>
      <c r="H222">
        <v>320</v>
      </c>
      <c r="I222">
        <v>72120</v>
      </c>
      <c r="J222">
        <v>71696</v>
      </c>
      <c r="K222">
        <v>195</v>
      </c>
      <c r="L222" t="s">
        <v>505</v>
      </c>
      <c r="M222" t="s">
        <v>495</v>
      </c>
      <c r="N222">
        <f>SUM(F222:H222)/I222</f>
        <v>8.1808097615085965E-2</v>
      </c>
    </row>
    <row r="223" spans="1:14" x14ac:dyDescent="0.3">
      <c r="A223" t="s">
        <v>297</v>
      </c>
      <c r="B223" t="s">
        <v>23</v>
      </c>
      <c r="C223" s="24">
        <v>45603</v>
      </c>
      <c r="D223" t="s">
        <v>57</v>
      </c>
      <c r="E223" t="s">
        <v>523</v>
      </c>
      <c r="F223">
        <v>1121</v>
      </c>
      <c r="G223">
        <v>135</v>
      </c>
      <c r="H223">
        <v>18</v>
      </c>
      <c r="I223">
        <v>15694</v>
      </c>
      <c r="J223">
        <v>14957</v>
      </c>
      <c r="K223">
        <v>99</v>
      </c>
      <c r="L223" t="s">
        <v>498</v>
      </c>
      <c r="M223" t="s">
        <v>506</v>
      </c>
      <c r="N223">
        <f>SUM(F223:H223)/I223</f>
        <v>8.1177520071364848E-2</v>
      </c>
    </row>
    <row r="224" spans="1:14" x14ac:dyDescent="0.3">
      <c r="A224" t="s">
        <v>160</v>
      </c>
      <c r="B224" t="s">
        <v>23</v>
      </c>
      <c r="C224" s="24">
        <v>45586</v>
      </c>
      <c r="D224" t="s">
        <v>14</v>
      </c>
      <c r="E224" t="s">
        <v>522</v>
      </c>
      <c r="F224">
        <v>2825</v>
      </c>
      <c r="G224">
        <v>535</v>
      </c>
      <c r="H224">
        <v>295</v>
      </c>
      <c r="I224">
        <v>45200</v>
      </c>
      <c r="J224">
        <v>44739</v>
      </c>
      <c r="K224">
        <v>169</v>
      </c>
      <c r="L224" t="s">
        <v>498</v>
      </c>
      <c r="M224" t="s">
        <v>495</v>
      </c>
      <c r="N224">
        <f>SUM(F224:H224)/I224</f>
        <v>8.0862831858407078E-2</v>
      </c>
    </row>
    <row r="225" spans="1:14" x14ac:dyDescent="0.3">
      <c r="A225" t="s">
        <v>358</v>
      </c>
      <c r="B225" t="s">
        <v>38</v>
      </c>
      <c r="C225" s="24">
        <v>45567</v>
      </c>
      <c r="D225" t="s">
        <v>45</v>
      </c>
      <c r="E225" t="s">
        <v>520</v>
      </c>
      <c r="F225">
        <v>3432</v>
      </c>
      <c r="G225">
        <v>869</v>
      </c>
      <c r="H225">
        <v>123</v>
      </c>
      <c r="I225">
        <v>54912</v>
      </c>
      <c r="J225">
        <v>53916</v>
      </c>
      <c r="K225">
        <v>264</v>
      </c>
      <c r="L225" t="s">
        <v>505</v>
      </c>
      <c r="M225" t="s">
        <v>499</v>
      </c>
      <c r="N225">
        <f>SUM(F225:H225)/I225</f>
        <v>8.0565268065268064E-2</v>
      </c>
    </row>
    <row r="226" spans="1:14" x14ac:dyDescent="0.3">
      <c r="A226" t="s">
        <v>91</v>
      </c>
      <c r="B226" t="s">
        <v>18</v>
      </c>
      <c r="C226" s="24">
        <v>45715</v>
      </c>
      <c r="D226" t="s">
        <v>45</v>
      </c>
      <c r="E226" t="s">
        <v>510</v>
      </c>
      <c r="F226">
        <v>1570</v>
      </c>
      <c r="G226">
        <v>187</v>
      </c>
      <c r="H226">
        <v>260</v>
      </c>
      <c r="I226">
        <v>25120</v>
      </c>
      <c r="J226">
        <v>24613</v>
      </c>
      <c r="K226">
        <v>133</v>
      </c>
      <c r="L226" t="s">
        <v>498</v>
      </c>
      <c r="M226" t="s">
        <v>506</v>
      </c>
      <c r="N226">
        <f>SUM(F226:H226)/I226</f>
        <v>8.0294585987261149E-2</v>
      </c>
    </row>
    <row r="227" spans="1:14" x14ac:dyDescent="0.3">
      <c r="A227" t="s">
        <v>332</v>
      </c>
      <c r="B227" t="s">
        <v>18</v>
      </c>
      <c r="C227" s="24">
        <v>45600</v>
      </c>
      <c r="D227" t="s">
        <v>24</v>
      </c>
      <c r="E227" t="s">
        <v>511</v>
      </c>
      <c r="F227">
        <v>4551</v>
      </c>
      <c r="G227">
        <v>714</v>
      </c>
      <c r="H227">
        <v>207</v>
      </c>
      <c r="I227">
        <v>68265</v>
      </c>
      <c r="J227">
        <v>67754</v>
      </c>
      <c r="K227">
        <v>57</v>
      </c>
      <c r="L227" t="s">
        <v>494</v>
      </c>
      <c r="M227" t="s">
        <v>503</v>
      </c>
      <c r="N227">
        <f>SUM(F227:H227)/I227</f>
        <v>8.0158206987475278E-2</v>
      </c>
    </row>
    <row r="228" spans="1:14" x14ac:dyDescent="0.3">
      <c r="A228" t="s">
        <v>314</v>
      </c>
      <c r="B228" t="s">
        <v>18</v>
      </c>
      <c r="C228" s="24">
        <v>45753</v>
      </c>
      <c r="D228" t="s">
        <v>24</v>
      </c>
      <c r="E228" t="s">
        <v>511</v>
      </c>
      <c r="F228">
        <v>3090</v>
      </c>
      <c r="G228">
        <v>697</v>
      </c>
      <c r="H228">
        <v>164</v>
      </c>
      <c r="I228">
        <v>49440</v>
      </c>
      <c r="J228">
        <v>48524</v>
      </c>
      <c r="K228">
        <v>25</v>
      </c>
      <c r="L228" t="s">
        <v>505</v>
      </c>
      <c r="M228" t="s">
        <v>499</v>
      </c>
      <c r="N228">
        <f>SUM(F228:H228)/I228</f>
        <v>7.9915048543689318E-2</v>
      </c>
    </row>
    <row r="229" spans="1:14" x14ac:dyDescent="0.3">
      <c r="A229" t="s">
        <v>314</v>
      </c>
      <c r="B229" t="s">
        <v>18</v>
      </c>
      <c r="C229" s="24">
        <v>45753</v>
      </c>
      <c r="D229" t="s">
        <v>24</v>
      </c>
      <c r="E229" t="s">
        <v>511</v>
      </c>
      <c r="F229">
        <v>3090</v>
      </c>
      <c r="G229">
        <v>697</v>
      </c>
      <c r="H229">
        <v>164</v>
      </c>
      <c r="I229">
        <v>49440</v>
      </c>
      <c r="J229">
        <v>48524</v>
      </c>
      <c r="K229">
        <v>25</v>
      </c>
      <c r="L229" t="s">
        <v>505</v>
      </c>
      <c r="M229" t="s">
        <v>499</v>
      </c>
      <c r="N229">
        <f>SUM(F229:H229)/I229</f>
        <v>7.9915048543689318E-2</v>
      </c>
    </row>
    <row r="230" spans="1:14" x14ac:dyDescent="0.3">
      <c r="A230" t="s">
        <v>314</v>
      </c>
      <c r="B230" t="s">
        <v>18</v>
      </c>
      <c r="C230" s="24">
        <v>45753</v>
      </c>
      <c r="D230" t="s">
        <v>24</v>
      </c>
      <c r="E230" t="s">
        <v>511</v>
      </c>
      <c r="F230">
        <v>3090</v>
      </c>
      <c r="G230">
        <v>697</v>
      </c>
      <c r="H230">
        <v>164</v>
      </c>
      <c r="I230">
        <v>49440</v>
      </c>
      <c r="J230">
        <v>48524</v>
      </c>
      <c r="K230">
        <v>25</v>
      </c>
      <c r="L230" t="s">
        <v>500</v>
      </c>
      <c r="M230" t="s">
        <v>499</v>
      </c>
      <c r="N230">
        <f>SUM(F230:H230)/I230</f>
        <v>7.9915048543689318E-2</v>
      </c>
    </row>
    <row r="231" spans="1:14" x14ac:dyDescent="0.3">
      <c r="A231" t="s">
        <v>129</v>
      </c>
      <c r="B231" t="s">
        <v>18</v>
      </c>
      <c r="C231" s="24">
        <v>45740</v>
      </c>
      <c r="D231" t="s">
        <v>24</v>
      </c>
      <c r="E231" t="s">
        <v>511</v>
      </c>
      <c r="F231">
        <v>1263</v>
      </c>
      <c r="G231">
        <v>397</v>
      </c>
      <c r="H231">
        <v>357</v>
      </c>
      <c r="I231">
        <v>25260</v>
      </c>
      <c r="J231">
        <v>24615</v>
      </c>
      <c r="K231">
        <v>137</v>
      </c>
      <c r="L231" t="s">
        <v>505</v>
      </c>
      <c r="M231" t="s">
        <v>506</v>
      </c>
      <c r="N231">
        <f>SUM(F231:H231)/I231</f>
        <v>7.984956452889945E-2</v>
      </c>
    </row>
    <row r="232" spans="1:14" x14ac:dyDescent="0.3">
      <c r="A232" t="s">
        <v>240</v>
      </c>
      <c r="B232" t="s">
        <v>18</v>
      </c>
      <c r="C232" s="24">
        <v>45456</v>
      </c>
      <c r="D232" t="s">
        <v>20</v>
      </c>
      <c r="E232" t="s">
        <v>507</v>
      </c>
      <c r="F232">
        <v>2200</v>
      </c>
      <c r="G232">
        <v>504</v>
      </c>
      <c r="H232">
        <v>239</v>
      </c>
      <c r="I232">
        <v>37400</v>
      </c>
      <c r="J232">
        <v>36938</v>
      </c>
      <c r="K232">
        <v>225</v>
      </c>
      <c r="L232" t="s">
        <v>494</v>
      </c>
      <c r="M232" t="s">
        <v>499</v>
      </c>
      <c r="N232">
        <f>SUM(F232:H232)/I232</f>
        <v>7.8689839572192513E-2</v>
      </c>
    </row>
    <row r="233" spans="1:14" x14ac:dyDescent="0.3">
      <c r="A233" t="s">
        <v>239</v>
      </c>
      <c r="B233" t="s">
        <v>38</v>
      </c>
      <c r="C233" s="24">
        <v>45456</v>
      </c>
      <c r="D233" t="s">
        <v>57</v>
      </c>
      <c r="E233" t="s">
        <v>504</v>
      </c>
      <c r="F233">
        <v>2103</v>
      </c>
      <c r="G233">
        <v>892</v>
      </c>
      <c r="H233">
        <v>103</v>
      </c>
      <c r="I233">
        <v>39957</v>
      </c>
      <c r="J233">
        <v>39466</v>
      </c>
      <c r="K233">
        <v>28</v>
      </c>
      <c r="L233" t="s">
        <v>494</v>
      </c>
      <c r="N233">
        <f>SUM(F233:H233)/I233</f>
        <v>7.7533348349475686E-2</v>
      </c>
    </row>
    <row r="234" spans="1:14" x14ac:dyDescent="0.3">
      <c r="A234" t="s">
        <v>224</v>
      </c>
      <c r="B234" t="s">
        <v>18</v>
      </c>
      <c r="C234" s="24">
        <v>45488</v>
      </c>
      <c r="D234" t="s">
        <v>53</v>
      </c>
      <c r="E234" t="s">
        <v>512</v>
      </c>
      <c r="F234">
        <v>3663</v>
      </c>
      <c r="G234">
        <v>17</v>
      </c>
      <c r="H234">
        <v>295</v>
      </c>
      <c r="I234">
        <v>51282</v>
      </c>
      <c r="J234">
        <v>50567</v>
      </c>
      <c r="K234">
        <v>84</v>
      </c>
      <c r="L234" t="s">
        <v>505</v>
      </c>
      <c r="M234" t="s">
        <v>503</v>
      </c>
      <c r="N234">
        <f>SUM(F234:H234)/I234</f>
        <v>7.7512577512577507E-2</v>
      </c>
    </row>
    <row r="235" spans="1:14" x14ac:dyDescent="0.3">
      <c r="A235" t="s">
        <v>215</v>
      </c>
      <c r="B235" t="s">
        <v>23</v>
      </c>
      <c r="C235" s="24">
        <v>45459</v>
      </c>
      <c r="D235" t="s">
        <v>14</v>
      </c>
      <c r="E235" t="s">
        <v>522</v>
      </c>
      <c r="F235">
        <v>1702</v>
      </c>
      <c r="G235">
        <v>750</v>
      </c>
      <c r="H235">
        <v>179</v>
      </c>
      <c r="I235">
        <v>34040</v>
      </c>
      <c r="J235">
        <v>33174</v>
      </c>
      <c r="K235">
        <v>76</v>
      </c>
      <c r="L235" t="s">
        <v>505</v>
      </c>
      <c r="M235" t="s">
        <v>495</v>
      </c>
      <c r="N235">
        <f>SUM(F235:H235)/I235</f>
        <v>7.7291421856639245E-2</v>
      </c>
    </row>
    <row r="236" spans="1:14" x14ac:dyDescent="0.3">
      <c r="A236" t="s">
        <v>341</v>
      </c>
      <c r="B236" t="s">
        <v>38</v>
      </c>
      <c r="C236" s="24">
        <v>45661</v>
      </c>
      <c r="D236" t="s">
        <v>53</v>
      </c>
      <c r="E236" t="s">
        <v>516</v>
      </c>
      <c r="F236">
        <v>4838</v>
      </c>
      <c r="G236">
        <v>640</v>
      </c>
      <c r="H236">
        <v>128</v>
      </c>
      <c r="I236">
        <v>72570</v>
      </c>
      <c r="J236">
        <v>72396</v>
      </c>
      <c r="K236">
        <v>83</v>
      </c>
      <c r="L236" t="s">
        <v>494</v>
      </c>
      <c r="M236" t="s">
        <v>506</v>
      </c>
      <c r="N236">
        <f>SUM(F236:H236)/I236</f>
        <v>7.7249552156538517E-2</v>
      </c>
    </row>
    <row r="237" spans="1:14" x14ac:dyDescent="0.3">
      <c r="A237" t="s">
        <v>308</v>
      </c>
      <c r="B237" t="s">
        <v>18</v>
      </c>
      <c r="C237" s="24">
        <v>45602</v>
      </c>
      <c r="D237" t="s">
        <v>14</v>
      </c>
      <c r="E237" t="s">
        <v>515</v>
      </c>
      <c r="F237">
        <v>1606</v>
      </c>
      <c r="G237">
        <v>547</v>
      </c>
      <c r="H237">
        <v>316</v>
      </c>
      <c r="I237">
        <v>32120</v>
      </c>
      <c r="J237">
        <v>31736</v>
      </c>
      <c r="K237">
        <v>225</v>
      </c>
      <c r="L237" t="s">
        <v>498</v>
      </c>
      <c r="M237" t="s">
        <v>499</v>
      </c>
      <c r="N237">
        <f>SUM(F237:H237)/I237</f>
        <v>7.6867995018679955E-2</v>
      </c>
    </row>
    <row r="238" spans="1:14" x14ac:dyDescent="0.3">
      <c r="A238" t="s">
        <v>308</v>
      </c>
      <c r="B238" t="s">
        <v>18</v>
      </c>
      <c r="C238" s="24">
        <v>45602</v>
      </c>
      <c r="D238" t="s">
        <v>14</v>
      </c>
      <c r="E238" t="s">
        <v>515</v>
      </c>
      <c r="F238">
        <v>1606</v>
      </c>
      <c r="G238">
        <v>547</v>
      </c>
      <c r="H238">
        <v>316</v>
      </c>
      <c r="I238">
        <v>32120</v>
      </c>
      <c r="J238">
        <v>31736</v>
      </c>
      <c r="K238">
        <v>225</v>
      </c>
      <c r="L238" t="s">
        <v>496</v>
      </c>
      <c r="M238" t="s">
        <v>499</v>
      </c>
      <c r="N238">
        <f>SUM(F238:H238)/I238</f>
        <v>7.6867995018679955E-2</v>
      </c>
    </row>
    <row r="239" spans="1:14" x14ac:dyDescent="0.3">
      <c r="A239" t="s">
        <v>182</v>
      </c>
      <c r="B239" t="s">
        <v>38</v>
      </c>
      <c r="C239" s="24">
        <v>45766</v>
      </c>
      <c r="D239" t="s">
        <v>57</v>
      </c>
      <c r="E239" t="s">
        <v>504</v>
      </c>
      <c r="F239">
        <v>4518</v>
      </c>
      <c r="G239">
        <v>285</v>
      </c>
      <c r="H239">
        <v>383</v>
      </c>
      <c r="I239">
        <v>67770</v>
      </c>
      <c r="J239">
        <v>67621</v>
      </c>
      <c r="K239">
        <v>31</v>
      </c>
      <c r="L239" t="s">
        <v>505</v>
      </c>
      <c r="M239" t="s">
        <v>499</v>
      </c>
      <c r="N239">
        <f>SUM(F239:H239)/I239</f>
        <v>7.6523535487678915E-2</v>
      </c>
    </row>
    <row r="240" spans="1:14" x14ac:dyDescent="0.3">
      <c r="A240" t="s">
        <v>352</v>
      </c>
      <c r="B240" t="s">
        <v>23</v>
      </c>
      <c r="C240" s="24">
        <v>45750</v>
      </c>
      <c r="D240" t="s">
        <v>45</v>
      </c>
      <c r="E240" t="s">
        <v>497</v>
      </c>
      <c r="F240">
        <v>4054</v>
      </c>
      <c r="G240">
        <v>389</v>
      </c>
      <c r="H240">
        <v>493</v>
      </c>
      <c r="I240">
        <v>64864</v>
      </c>
      <c r="J240">
        <v>64383</v>
      </c>
      <c r="K240">
        <v>117</v>
      </c>
      <c r="L240" t="s">
        <v>498</v>
      </c>
      <c r="M240" t="s">
        <v>499</v>
      </c>
      <c r="N240">
        <f>SUM(F240:H240)/I240</f>
        <v>7.6097681302417369E-2</v>
      </c>
    </row>
    <row r="241" spans="1:14" x14ac:dyDescent="0.3">
      <c r="A241" t="s">
        <v>352</v>
      </c>
      <c r="B241" t="s">
        <v>23</v>
      </c>
      <c r="C241" s="24">
        <v>45750</v>
      </c>
      <c r="D241" t="s">
        <v>45</v>
      </c>
      <c r="E241" t="s">
        <v>497</v>
      </c>
      <c r="F241">
        <v>4054</v>
      </c>
      <c r="G241">
        <v>389</v>
      </c>
      <c r="H241">
        <v>493</v>
      </c>
      <c r="I241">
        <v>64864</v>
      </c>
      <c r="J241">
        <v>64383</v>
      </c>
      <c r="K241">
        <v>117</v>
      </c>
      <c r="L241" t="s">
        <v>500</v>
      </c>
      <c r="M241" t="s">
        <v>499</v>
      </c>
      <c r="N241">
        <f>SUM(F241:H241)/I241</f>
        <v>7.6097681302417369E-2</v>
      </c>
    </row>
    <row r="242" spans="1:14" x14ac:dyDescent="0.3">
      <c r="A242" t="s">
        <v>377</v>
      </c>
      <c r="B242" t="s">
        <v>18</v>
      </c>
      <c r="C242" s="24">
        <v>45444</v>
      </c>
      <c r="D242" t="s">
        <v>45</v>
      </c>
      <c r="E242" t="s">
        <v>510</v>
      </c>
      <c r="F242">
        <v>1272</v>
      </c>
      <c r="G242">
        <v>465</v>
      </c>
      <c r="H242">
        <v>99</v>
      </c>
      <c r="I242">
        <v>24168</v>
      </c>
      <c r="J242">
        <v>23719</v>
      </c>
      <c r="K242">
        <v>42</v>
      </c>
      <c r="L242" t="s">
        <v>498</v>
      </c>
      <c r="N242">
        <f>SUM(F242:H242)/I242</f>
        <v>7.5968222442899705E-2</v>
      </c>
    </row>
    <row r="243" spans="1:14" x14ac:dyDescent="0.3">
      <c r="A243" t="s">
        <v>187</v>
      </c>
      <c r="B243" t="s">
        <v>501</v>
      </c>
      <c r="C243" s="24">
        <v>45614</v>
      </c>
      <c r="D243" t="s">
        <v>20</v>
      </c>
      <c r="E243" t="s">
        <v>513</v>
      </c>
      <c r="F243">
        <v>1171</v>
      </c>
      <c r="G243">
        <v>286</v>
      </c>
      <c r="H243">
        <v>231</v>
      </c>
      <c r="I243">
        <v>22249</v>
      </c>
      <c r="J243">
        <v>21282</v>
      </c>
      <c r="K243">
        <v>114</v>
      </c>
      <c r="L243" t="s">
        <v>505</v>
      </c>
      <c r="M243" t="s">
        <v>495</v>
      </c>
      <c r="N243">
        <f>SUM(F243:H243)/I243</f>
        <v>7.5868578363072495E-2</v>
      </c>
    </row>
    <row r="244" spans="1:14" x14ac:dyDescent="0.3">
      <c r="A244" t="s">
        <v>98</v>
      </c>
      <c r="B244" t="s">
        <v>18</v>
      </c>
      <c r="C244" s="24">
        <v>45530</v>
      </c>
      <c r="D244" t="s">
        <v>45</v>
      </c>
      <c r="E244" t="s">
        <v>510</v>
      </c>
      <c r="F244">
        <v>3452</v>
      </c>
      <c r="G244">
        <v>377</v>
      </c>
      <c r="H244">
        <v>360</v>
      </c>
      <c r="I244">
        <v>55232</v>
      </c>
      <c r="J244">
        <v>55075</v>
      </c>
      <c r="K244">
        <v>87</v>
      </c>
      <c r="L244" t="s">
        <v>494</v>
      </c>
      <c r="M244" t="s">
        <v>503</v>
      </c>
      <c r="N244">
        <f>SUM(F244:H244)/I244</f>
        <v>7.5843713789107758E-2</v>
      </c>
    </row>
    <row r="245" spans="1:14" x14ac:dyDescent="0.3">
      <c r="A245" t="s">
        <v>221</v>
      </c>
      <c r="B245" t="s">
        <v>18</v>
      </c>
      <c r="C245" s="24">
        <v>45488</v>
      </c>
      <c r="D245" t="s">
        <v>20</v>
      </c>
      <c r="E245" t="s">
        <v>507</v>
      </c>
      <c r="F245">
        <v>3796</v>
      </c>
      <c r="G245">
        <v>667</v>
      </c>
      <c r="H245">
        <v>395</v>
      </c>
      <c r="I245">
        <v>64532</v>
      </c>
      <c r="J245">
        <v>63550</v>
      </c>
      <c r="K245">
        <v>292</v>
      </c>
      <c r="L245" t="s">
        <v>498</v>
      </c>
      <c r="N245">
        <f>SUM(F245:H245)/I245</f>
        <v>7.5280481001673588E-2</v>
      </c>
    </row>
    <row r="246" spans="1:14" x14ac:dyDescent="0.3">
      <c r="A246" t="s">
        <v>373</v>
      </c>
      <c r="B246" t="s">
        <v>18</v>
      </c>
      <c r="C246" s="24">
        <v>45597</v>
      </c>
      <c r="D246" t="s">
        <v>14</v>
      </c>
      <c r="E246" t="s">
        <v>515</v>
      </c>
      <c r="F246">
        <v>3371</v>
      </c>
      <c r="G246">
        <v>106</v>
      </c>
      <c r="H246">
        <v>327</v>
      </c>
      <c r="I246">
        <v>50565</v>
      </c>
      <c r="J246">
        <v>49816</v>
      </c>
      <c r="K246">
        <v>176</v>
      </c>
      <c r="L246" t="s">
        <v>494</v>
      </c>
      <c r="M246" t="s">
        <v>495</v>
      </c>
      <c r="N246">
        <f>SUM(F246:H246)/I246</f>
        <v>7.5229902106199939E-2</v>
      </c>
    </row>
    <row r="247" spans="1:14" x14ac:dyDescent="0.3">
      <c r="A247" t="s">
        <v>245</v>
      </c>
      <c r="B247" t="s">
        <v>18</v>
      </c>
      <c r="C247" s="24">
        <v>45608</v>
      </c>
      <c r="D247" t="s">
        <v>45</v>
      </c>
      <c r="E247" t="s">
        <v>510</v>
      </c>
      <c r="F247">
        <v>2418</v>
      </c>
      <c r="G247">
        <v>754</v>
      </c>
      <c r="H247">
        <v>54</v>
      </c>
      <c r="I247">
        <v>43524</v>
      </c>
      <c r="J247">
        <v>42743</v>
      </c>
      <c r="K247">
        <v>182</v>
      </c>
      <c r="L247" t="s">
        <v>505</v>
      </c>
      <c r="M247" t="s">
        <v>495</v>
      </c>
      <c r="N247">
        <f>SUM(F247:H247)/I247</f>
        <v>7.412002573292896E-2</v>
      </c>
    </row>
    <row r="248" spans="1:14" x14ac:dyDescent="0.3">
      <c r="A248" t="s">
        <v>137</v>
      </c>
      <c r="B248" t="s">
        <v>501</v>
      </c>
      <c r="C248" s="24">
        <v>45619</v>
      </c>
      <c r="D248" t="s">
        <v>24</v>
      </c>
      <c r="E248" t="s">
        <v>509</v>
      </c>
      <c r="F248">
        <v>2719</v>
      </c>
      <c r="G248">
        <v>17</v>
      </c>
      <c r="H248">
        <v>285</v>
      </c>
      <c r="I248">
        <v>40785</v>
      </c>
      <c r="J248">
        <v>40281</v>
      </c>
      <c r="K248">
        <v>40</v>
      </c>
      <c r="L248" t="s">
        <v>498</v>
      </c>
      <c r="M248" t="s">
        <v>499</v>
      </c>
      <c r="N248">
        <f>SUM(F248:H248)/I248</f>
        <v>7.4071349760941527E-2</v>
      </c>
    </row>
    <row r="249" spans="1:14" x14ac:dyDescent="0.3">
      <c r="A249" t="s">
        <v>189</v>
      </c>
      <c r="B249" t="s">
        <v>501</v>
      </c>
      <c r="C249" s="24">
        <v>45583</v>
      </c>
      <c r="D249" t="s">
        <v>14</v>
      </c>
      <c r="E249" t="s">
        <v>526</v>
      </c>
      <c r="F249">
        <v>4450</v>
      </c>
      <c r="G249">
        <v>983</v>
      </c>
      <c r="H249">
        <v>143</v>
      </c>
      <c r="I249">
        <v>75650</v>
      </c>
      <c r="J249">
        <v>75008</v>
      </c>
      <c r="K249">
        <v>12</v>
      </c>
      <c r="L249" t="s">
        <v>494</v>
      </c>
      <c r="M249" t="s">
        <v>503</v>
      </c>
      <c r="N249">
        <f>SUM(F249:H249)/I249</f>
        <v>7.3707865168539333E-2</v>
      </c>
    </row>
    <row r="250" spans="1:14" x14ac:dyDescent="0.3">
      <c r="A250" t="s">
        <v>265</v>
      </c>
      <c r="B250" t="s">
        <v>23</v>
      </c>
      <c r="C250" s="24">
        <v>45727</v>
      </c>
      <c r="D250" t="s">
        <v>57</v>
      </c>
      <c r="E250" t="s">
        <v>523</v>
      </c>
      <c r="F250">
        <v>1950</v>
      </c>
      <c r="G250">
        <v>295</v>
      </c>
      <c r="H250">
        <v>478</v>
      </c>
      <c r="I250">
        <v>37050</v>
      </c>
      <c r="J250">
        <v>36272</v>
      </c>
      <c r="K250">
        <v>119</v>
      </c>
      <c r="L250" t="s">
        <v>498</v>
      </c>
      <c r="N250">
        <f>SUM(F250:H250)/I250</f>
        <v>7.349527665317139E-2</v>
      </c>
    </row>
    <row r="251" spans="1:14" x14ac:dyDescent="0.3">
      <c r="A251" t="s">
        <v>152</v>
      </c>
      <c r="B251" t="s">
        <v>18</v>
      </c>
      <c r="C251" s="24">
        <v>45465</v>
      </c>
      <c r="D251" t="s">
        <v>53</v>
      </c>
      <c r="E251" t="s">
        <v>512</v>
      </c>
      <c r="F251">
        <v>3813</v>
      </c>
      <c r="G251">
        <v>935</v>
      </c>
      <c r="H251">
        <v>274</v>
      </c>
      <c r="I251">
        <v>68634</v>
      </c>
      <c r="J251">
        <v>68488</v>
      </c>
      <c r="K251">
        <v>251</v>
      </c>
      <c r="L251" t="s">
        <v>494</v>
      </c>
      <c r="N251">
        <f>SUM(F251:H251)/I251</f>
        <v>7.3170731707317069E-2</v>
      </c>
    </row>
    <row r="252" spans="1:14" x14ac:dyDescent="0.3">
      <c r="A252" t="s">
        <v>294</v>
      </c>
      <c r="B252" t="s">
        <v>18</v>
      </c>
      <c r="C252" s="24">
        <v>45724</v>
      </c>
      <c r="D252" t="s">
        <v>24</v>
      </c>
      <c r="E252" t="s">
        <v>511</v>
      </c>
      <c r="F252">
        <v>2382</v>
      </c>
      <c r="G252">
        <v>265</v>
      </c>
      <c r="H252">
        <v>134</v>
      </c>
      <c r="I252">
        <v>38112</v>
      </c>
      <c r="J252">
        <v>37437</v>
      </c>
      <c r="K252">
        <v>249</v>
      </c>
      <c r="L252" t="s">
        <v>494</v>
      </c>
      <c r="M252" t="s">
        <v>506</v>
      </c>
      <c r="N252">
        <f>SUM(F252:H252)/I252</f>
        <v>7.2969143576826198E-2</v>
      </c>
    </row>
    <row r="253" spans="1:14" x14ac:dyDescent="0.3">
      <c r="A253" t="s">
        <v>232</v>
      </c>
      <c r="B253" t="s">
        <v>18</v>
      </c>
      <c r="C253" s="24">
        <v>45518</v>
      </c>
      <c r="D253" t="s">
        <v>20</v>
      </c>
      <c r="E253" t="s">
        <v>507</v>
      </c>
      <c r="F253">
        <v>3073</v>
      </c>
      <c r="G253">
        <v>553</v>
      </c>
      <c r="H253">
        <v>174</v>
      </c>
      <c r="I253">
        <v>52241</v>
      </c>
      <c r="J253">
        <v>51605</v>
      </c>
      <c r="K253">
        <v>246</v>
      </c>
      <c r="L253" t="s">
        <v>505</v>
      </c>
      <c r="M253" t="s">
        <v>503</v>
      </c>
      <c r="N253">
        <f>SUM(F253:H253)/I253</f>
        <v>7.2739802071170159E-2</v>
      </c>
    </row>
    <row r="254" spans="1:14" x14ac:dyDescent="0.3">
      <c r="A254" t="s">
        <v>214</v>
      </c>
      <c r="B254" t="s">
        <v>23</v>
      </c>
      <c r="C254" s="24">
        <v>45489</v>
      </c>
      <c r="D254" t="s">
        <v>45</v>
      </c>
      <c r="E254" t="s">
        <v>497</v>
      </c>
      <c r="F254">
        <v>4725</v>
      </c>
      <c r="G254">
        <v>400</v>
      </c>
      <c r="H254">
        <v>362</v>
      </c>
      <c r="I254">
        <v>75600</v>
      </c>
      <c r="J254">
        <v>74927</v>
      </c>
      <c r="K254">
        <v>43</v>
      </c>
      <c r="L254" t="s">
        <v>494</v>
      </c>
      <c r="M254" t="s">
        <v>506</v>
      </c>
      <c r="N254">
        <f>SUM(F254:H254)/I254</f>
        <v>7.2579365079365077E-2</v>
      </c>
    </row>
    <row r="255" spans="1:14" x14ac:dyDescent="0.3">
      <c r="A255" t="s">
        <v>127</v>
      </c>
      <c r="B255" t="s">
        <v>18</v>
      </c>
      <c r="C255" s="24">
        <v>45740</v>
      </c>
      <c r="D255" t="s">
        <v>53</v>
      </c>
      <c r="E255" t="s">
        <v>512</v>
      </c>
      <c r="F255">
        <v>3360</v>
      </c>
      <c r="G255">
        <v>525</v>
      </c>
      <c r="H255">
        <v>500</v>
      </c>
      <c r="I255">
        <v>60480</v>
      </c>
      <c r="J255">
        <v>59610</v>
      </c>
      <c r="K255">
        <v>192</v>
      </c>
      <c r="L255" t="s">
        <v>498</v>
      </c>
      <c r="M255" t="s">
        <v>495</v>
      </c>
      <c r="N255">
        <f>SUM(F255:H255)/I255</f>
        <v>7.2503306878306875E-2</v>
      </c>
    </row>
    <row r="256" spans="1:14" x14ac:dyDescent="0.3">
      <c r="A256" t="s">
        <v>107</v>
      </c>
      <c r="B256" t="s">
        <v>18</v>
      </c>
      <c r="C256" s="24">
        <v>45621</v>
      </c>
      <c r="D256" t="s">
        <v>24</v>
      </c>
      <c r="E256" t="s">
        <v>511</v>
      </c>
      <c r="F256">
        <v>3564</v>
      </c>
      <c r="G256">
        <v>629</v>
      </c>
      <c r="H256">
        <v>177</v>
      </c>
      <c r="I256">
        <v>60588</v>
      </c>
      <c r="J256">
        <v>59627</v>
      </c>
      <c r="K256">
        <v>92</v>
      </c>
      <c r="L256" t="s">
        <v>498</v>
      </c>
      <c r="N256">
        <f>SUM(F256:H256)/I256</f>
        <v>7.2126493695121141E-2</v>
      </c>
    </row>
    <row r="257" spans="1:14" x14ac:dyDescent="0.3">
      <c r="A257" t="s">
        <v>312</v>
      </c>
      <c r="B257" t="s">
        <v>18</v>
      </c>
      <c r="C257" s="24">
        <v>45783</v>
      </c>
      <c r="D257" t="s">
        <v>24</v>
      </c>
      <c r="E257" t="s">
        <v>511</v>
      </c>
      <c r="F257">
        <v>4872</v>
      </c>
      <c r="G257">
        <v>925</v>
      </c>
      <c r="H257">
        <v>176</v>
      </c>
      <c r="I257">
        <v>82824</v>
      </c>
      <c r="J257">
        <v>82543</v>
      </c>
      <c r="K257">
        <v>89</v>
      </c>
      <c r="L257" t="s">
        <v>505</v>
      </c>
      <c r="M257" t="s">
        <v>499</v>
      </c>
      <c r="N257">
        <f>SUM(F257:H257)/I257</f>
        <v>7.2116777745580993E-2</v>
      </c>
    </row>
    <row r="258" spans="1:14" x14ac:dyDescent="0.3">
      <c r="A258" t="s">
        <v>143</v>
      </c>
      <c r="B258" t="s">
        <v>18</v>
      </c>
      <c r="C258" s="24">
        <v>45680</v>
      </c>
      <c r="D258" t="s">
        <v>14</v>
      </c>
      <c r="E258" t="s">
        <v>515</v>
      </c>
      <c r="F258">
        <v>3961</v>
      </c>
      <c r="G258">
        <v>761</v>
      </c>
      <c r="H258">
        <v>131</v>
      </c>
      <c r="I258">
        <v>67337</v>
      </c>
      <c r="J258">
        <v>66615</v>
      </c>
      <c r="K258">
        <v>161</v>
      </c>
      <c r="L258" t="s">
        <v>494</v>
      </c>
      <c r="M258" t="s">
        <v>503</v>
      </c>
      <c r="N258">
        <f>SUM(F258:H258)/I258</f>
        <v>7.2070332803659209E-2</v>
      </c>
    </row>
    <row r="259" spans="1:14" x14ac:dyDescent="0.3">
      <c r="A259" t="s">
        <v>365</v>
      </c>
      <c r="B259" t="s">
        <v>501</v>
      </c>
      <c r="C259" s="24">
        <v>45475</v>
      </c>
      <c r="D259" t="s">
        <v>20</v>
      </c>
      <c r="E259" t="s">
        <v>513</v>
      </c>
      <c r="F259">
        <v>4171</v>
      </c>
      <c r="G259">
        <v>548</v>
      </c>
      <c r="H259">
        <v>86</v>
      </c>
      <c r="I259">
        <v>66736</v>
      </c>
      <c r="J259">
        <v>66634</v>
      </c>
      <c r="K259">
        <v>173</v>
      </c>
      <c r="L259" t="s">
        <v>494</v>
      </c>
      <c r="M259" t="s">
        <v>503</v>
      </c>
      <c r="N259">
        <f>SUM(F259:H259)/I259</f>
        <v>7.2000119875329657E-2</v>
      </c>
    </row>
    <row r="260" spans="1:14" x14ac:dyDescent="0.3">
      <c r="A260" t="s">
        <v>264</v>
      </c>
      <c r="B260" t="s">
        <v>18</v>
      </c>
      <c r="C260" s="24">
        <v>45727</v>
      </c>
      <c r="D260" t="s">
        <v>24</v>
      </c>
      <c r="E260" t="s">
        <v>511</v>
      </c>
      <c r="F260">
        <v>4241</v>
      </c>
      <c r="G260">
        <v>902</v>
      </c>
      <c r="H260">
        <v>47</v>
      </c>
      <c r="I260">
        <v>72097</v>
      </c>
      <c r="J260">
        <v>71598</v>
      </c>
      <c r="K260">
        <v>167</v>
      </c>
      <c r="L260" t="s">
        <v>498</v>
      </c>
      <c r="M260" t="s">
        <v>499</v>
      </c>
      <c r="N260">
        <f>SUM(F260:H260)/I260</f>
        <v>7.198635172059864E-2</v>
      </c>
    </row>
    <row r="261" spans="1:14" x14ac:dyDescent="0.3">
      <c r="A261" t="s">
        <v>317</v>
      </c>
      <c r="B261" t="s">
        <v>18</v>
      </c>
      <c r="C261" s="24">
        <v>45694</v>
      </c>
      <c r="D261" t="s">
        <v>24</v>
      </c>
      <c r="E261" t="s">
        <v>511</v>
      </c>
      <c r="F261">
        <v>2072</v>
      </c>
      <c r="G261">
        <v>532</v>
      </c>
      <c r="H261">
        <v>71</v>
      </c>
      <c r="I261">
        <v>37296</v>
      </c>
      <c r="J261">
        <v>36467</v>
      </c>
      <c r="K261">
        <v>25</v>
      </c>
      <c r="L261" t="s">
        <v>498</v>
      </c>
      <c r="M261" t="s">
        <v>506</v>
      </c>
      <c r="N261">
        <f>SUM(F261:H261)/I261</f>
        <v>7.172350922350923E-2</v>
      </c>
    </row>
    <row r="262" spans="1:14" x14ac:dyDescent="0.3">
      <c r="A262" t="s">
        <v>203</v>
      </c>
      <c r="B262" t="s">
        <v>501</v>
      </c>
      <c r="C262" s="24">
        <v>45552</v>
      </c>
      <c r="D262" t="s">
        <v>45</v>
      </c>
      <c r="E262" t="s">
        <v>519</v>
      </c>
      <c r="F262">
        <v>2076</v>
      </c>
      <c r="G262">
        <v>195</v>
      </c>
      <c r="H262">
        <v>104</v>
      </c>
      <c r="I262">
        <v>33216</v>
      </c>
      <c r="J262">
        <v>32244</v>
      </c>
      <c r="K262">
        <v>51</v>
      </c>
      <c r="L262" t="s">
        <v>494</v>
      </c>
      <c r="M262" t="s">
        <v>506</v>
      </c>
      <c r="N262">
        <f>SUM(F262:H262)/I262</f>
        <v>7.1501685934489398E-2</v>
      </c>
    </row>
    <row r="263" spans="1:14" x14ac:dyDescent="0.3">
      <c r="A263" t="s">
        <v>125</v>
      </c>
      <c r="B263" t="s">
        <v>23</v>
      </c>
      <c r="C263" s="24">
        <v>45771</v>
      </c>
      <c r="D263" t="s">
        <v>53</v>
      </c>
      <c r="E263" t="s">
        <v>493</v>
      </c>
      <c r="F263">
        <v>3731</v>
      </c>
      <c r="G263">
        <v>115</v>
      </c>
      <c r="H263">
        <v>135</v>
      </c>
      <c r="I263">
        <v>55965</v>
      </c>
      <c r="J263">
        <v>55436</v>
      </c>
      <c r="K263">
        <v>103</v>
      </c>
      <c r="L263" t="s">
        <v>498</v>
      </c>
      <c r="M263" t="s">
        <v>495</v>
      </c>
      <c r="N263">
        <f>SUM(F263:H263)/I263</f>
        <v>7.1133744304476013E-2</v>
      </c>
    </row>
    <row r="264" spans="1:14" x14ac:dyDescent="0.3">
      <c r="A264" t="s">
        <v>350</v>
      </c>
      <c r="B264" t="s">
        <v>38</v>
      </c>
      <c r="C264" s="24">
        <v>45446</v>
      </c>
      <c r="D264" t="s">
        <v>24</v>
      </c>
      <c r="E264" t="s">
        <v>525</v>
      </c>
      <c r="F264">
        <v>3861</v>
      </c>
      <c r="G264">
        <v>960</v>
      </c>
      <c r="H264">
        <v>101</v>
      </c>
      <c r="I264">
        <v>69498</v>
      </c>
      <c r="J264">
        <v>68817</v>
      </c>
      <c r="K264">
        <v>297</v>
      </c>
      <c r="L264" t="s">
        <v>498</v>
      </c>
      <c r="M264" t="s">
        <v>506</v>
      </c>
      <c r="N264">
        <f>SUM(F264:H264)/I264</f>
        <v>7.0822181933293038E-2</v>
      </c>
    </row>
    <row r="265" spans="1:14" x14ac:dyDescent="0.3">
      <c r="A265" t="s">
        <v>103</v>
      </c>
      <c r="B265" t="s">
        <v>18</v>
      </c>
      <c r="C265" s="24">
        <v>45742</v>
      </c>
      <c r="D265" t="s">
        <v>45</v>
      </c>
      <c r="E265" t="s">
        <v>510</v>
      </c>
      <c r="F265">
        <v>1652</v>
      </c>
      <c r="G265">
        <v>89</v>
      </c>
      <c r="H265">
        <v>357</v>
      </c>
      <c r="I265">
        <v>29736</v>
      </c>
      <c r="J265">
        <v>28771</v>
      </c>
      <c r="K265">
        <v>215</v>
      </c>
      <c r="L265" t="s">
        <v>498</v>
      </c>
      <c r="M265" t="s">
        <v>503</v>
      </c>
      <c r="N265">
        <f>SUM(F265:H265)/I265</f>
        <v>7.055421038471886E-2</v>
      </c>
    </row>
    <row r="266" spans="1:14" x14ac:dyDescent="0.3">
      <c r="A266" t="s">
        <v>121</v>
      </c>
      <c r="B266" t="s">
        <v>23</v>
      </c>
      <c r="C266" s="24">
        <v>45467</v>
      </c>
      <c r="D266" t="s">
        <v>20</v>
      </c>
      <c r="E266" t="s">
        <v>508</v>
      </c>
      <c r="F266">
        <v>3860</v>
      </c>
      <c r="G266">
        <v>201</v>
      </c>
      <c r="H266">
        <v>279</v>
      </c>
      <c r="I266">
        <v>61760</v>
      </c>
      <c r="J266">
        <v>61660</v>
      </c>
      <c r="K266">
        <v>235</v>
      </c>
      <c r="L266" t="s">
        <v>498</v>
      </c>
      <c r="M266" t="s">
        <v>499</v>
      </c>
      <c r="N266">
        <f>SUM(F266:H266)/I266</f>
        <v>7.0272020725388601E-2</v>
      </c>
    </row>
    <row r="267" spans="1:14" x14ac:dyDescent="0.3">
      <c r="A267" t="s">
        <v>113</v>
      </c>
      <c r="B267" t="s">
        <v>501</v>
      </c>
      <c r="C267" s="24">
        <v>45741</v>
      </c>
      <c r="D267" t="s">
        <v>57</v>
      </c>
      <c r="E267" t="s">
        <v>524</v>
      </c>
      <c r="F267">
        <v>2070</v>
      </c>
      <c r="G267">
        <v>275</v>
      </c>
      <c r="H267">
        <v>386</v>
      </c>
      <c r="I267">
        <v>39330</v>
      </c>
      <c r="J267">
        <v>38627</v>
      </c>
      <c r="K267">
        <v>114</v>
      </c>
      <c r="L267" t="s">
        <v>494</v>
      </c>
      <c r="M267" t="s">
        <v>506</v>
      </c>
      <c r="N267">
        <f>SUM(F267:H267)/I267</f>
        <v>6.9438087973557078E-2</v>
      </c>
    </row>
    <row r="268" spans="1:14" x14ac:dyDescent="0.3">
      <c r="A268" t="s">
        <v>94</v>
      </c>
      <c r="B268" t="s">
        <v>18</v>
      </c>
      <c r="C268" s="24">
        <v>45684</v>
      </c>
      <c r="D268" t="s">
        <v>53</v>
      </c>
      <c r="E268" t="s">
        <v>512</v>
      </c>
      <c r="F268">
        <v>3452</v>
      </c>
      <c r="G268">
        <v>652</v>
      </c>
      <c r="H268">
        <v>442</v>
      </c>
      <c r="I268">
        <v>65588</v>
      </c>
      <c r="J268">
        <v>65049</v>
      </c>
      <c r="K268">
        <v>158</v>
      </c>
      <c r="L268" t="s">
        <v>494</v>
      </c>
      <c r="M268" t="s">
        <v>503</v>
      </c>
      <c r="N268">
        <f>SUM(F268:H268)/I268</f>
        <v>6.9311459413307311E-2</v>
      </c>
    </row>
    <row r="269" spans="1:14" x14ac:dyDescent="0.3">
      <c r="A269" t="s">
        <v>77</v>
      </c>
      <c r="B269" t="s">
        <v>23</v>
      </c>
      <c r="C269" s="24">
        <v>45775</v>
      </c>
      <c r="D269" t="s">
        <v>45</v>
      </c>
      <c r="E269" t="s">
        <v>497</v>
      </c>
      <c r="F269">
        <v>3577</v>
      </c>
      <c r="G269">
        <v>596</v>
      </c>
      <c r="H269">
        <v>493</v>
      </c>
      <c r="I269">
        <v>67963</v>
      </c>
      <c r="J269">
        <v>67839</v>
      </c>
      <c r="K269">
        <v>53</v>
      </c>
      <c r="L269" t="s">
        <v>498</v>
      </c>
      <c r="M269" t="s">
        <v>503</v>
      </c>
      <c r="N269">
        <f>SUM(F269:H269)/I269</f>
        <v>6.8655003457763777E-2</v>
      </c>
    </row>
    <row r="270" spans="1:14" x14ac:dyDescent="0.3">
      <c r="A270" t="s">
        <v>288</v>
      </c>
      <c r="B270" t="s">
        <v>38</v>
      </c>
      <c r="C270" s="24">
        <v>45604</v>
      </c>
      <c r="D270" t="s">
        <v>45</v>
      </c>
      <c r="E270" t="s">
        <v>520</v>
      </c>
      <c r="F270">
        <v>3182</v>
      </c>
      <c r="G270">
        <v>559</v>
      </c>
      <c r="H270">
        <v>160</v>
      </c>
      <c r="I270">
        <v>57276</v>
      </c>
      <c r="J270">
        <v>56890</v>
      </c>
      <c r="K270">
        <v>163</v>
      </c>
      <c r="L270" t="s">
        <v>494</v>
      </c>
      <c r="M270" t="s">
        <v>506</v>
      </c>
      <c r="N270">
        <f>SUM(F270:H270)/I270</f>
        <v>6.8108806480899509E-2</v>
      </c>
    </row>
    <row r="271" spans="1:14" x14ac:dyDescent="0.3">
      <c r="A271" t="s">
        <v>148</v>
      </c>
      <c r="B271" t="s">
        <v>38</v>
      </c>
      <c r="C271" s="24">
        <v>45587</v>
      </c>
      <c r="D271" t="s">
        <v>57</v>
      </c>
      <c r="E271" t="s">
        <v>504</v>
      </c>
      <c r="F271">
        <v>3770</v>
      </c>
      <c r="G271">
        <v>917</v>
      </c>
      <c r="H271">
        <v>129</v>
      </c>
      <c r="I271">
        <v>71630</v>
      </c>
      <c r="J271">
        <v>71322</v>
      </c>
      <c r="K271">
        <v>76</v>
      </c>
      <c r="L271" t="s">
        <v>494</v>
      </c>
      <c r="M271" t="s">
        <v>495</v>
      </c>
      <c r="N271">
        <f>SUM(F271:H271)/I271</f>
        <v>6.7234398994834563E-2</v>
      </c>
    </row>
    <row r="272" spans="1:14" x14ac:dyDescent="0.3">
      <c r="A272" t="s">
        <v>102</v>
      </c>
      <c r="B272" t="s">
        <v>501</v>
      </c>
      <c r="C272" s="24">
        <v>45469</v>
      </c>
      <c r="D272" t="s">
        <v>53</v>
      </c>
      <c r="E272" t="s">
        <v>502</v>
      </c>
      <c r="F272">
        <v>3557</v>
      </c>
      <c r="G272">
        <v>687</v>
      </c>
      <c r="H272">
        <v>424</v>
      </c>
      <c r="I272">
        <v>71140</v>
      </c>
      <c r="J272">
        <v>70701</v>
      </c>
      <c r="K272">
        <v>224</v>
      </c>
      <c r="L272" t="s">
        <v>505</v>
      </c>
      <c r="M272" t="s">
        <v>495</v>
      </c>
      <c r="N272">
        <f>SUM(F272:H272)/I272</f>
        <v>6.5617093055946027E-2</v>
      </c>
    </row>
    <row r="273" spans="1:14" x14ac:dyDescent="0.3">
      <c r="A273" t="s">
        <v>102</v>
      </c>
      <c r="B273" t="s">
        <v>501</v>
      </c>
      <c r="C273" s="24">
        <v>45469</v>
      </c>
      <c r="D273" t="s">
        <v>53</v>
      </c>
      <c r="E273" t="s">
        <v>502</v>
      </c>
      <c r="F273">
        <v>3557</v>
      </c>
      <c r="G273">
        <v>687</v>
      </c>
      <c r="H273">
        <v>424</v>
      </c>
      <c r="I273">
        <v>71140</v>
      </c>
      <c r="J273">
        <v>70701</v>
      </c>
      <c r="K273">
        <v>224</v>
      </c>
      <c r="L273" t="s">
        <v>498</v>
      </c>
      <c r="M273" t="s">
        <v>495</v>
      </c>
      <c r="N273">
        <f>SUM(F273:H273)/I273</f>
        <v>6.5617093055946027E-2</v>
      </c>
    </row>
    <row r="274" spans="1:14" x14ac:dyDescent="0.3">
      <c r="A274" t="s">
        <v>92</v>
      </c>
      <c r="B274" t="s">
        <v>501</v>
      </c>
      <c r="C274" s="24">
        <v>45684</v>
      </c>
      <c r="D274" t="s">
        <v>45</v>
      </c>
      <c r="E274" t="s">
        <v>519</v>
      </c>
      <c r="F274">
        <v>3428</v>
      </c>
      <c r="G274">
        <v>305</v>
      </c>
      <c r="H274">
        <v>85</v>
      </c>
      <c r="I274">
        <v>58276</v>
      </c>
      <c r="J274">
        <v>58052</v>
      </c>
      <c r="K274">
        <v>242</v>
      </c>
      <c r="L274" t="s">
        <v>505</v>
      </c>
      <c r="M274" t="s">
        <v>506</v>
      </c>
      <c r="N274">
        <f>SUM(F274:H274)/I274</f>
        <v>6.5515821264328367E-2</v>
      </c>
    </row>
    <row r="275" spans="1:14" x14ac:dyDescent="0.3">
      <c r="A275" t="s">
        <v>92</v>
      </c>
      <c r="B275" t="s">
        <v>501</v>
      </c>
      <c r="C275" s="24">
        <v>45684</v>
      </c>
      <c r="D275" t="s">
        <v>45</v>
      </c>
      <c r="E275" t="s">
        <v>519</v>
      </c>
      <c r="F275">
        <v>3428</v>
      </c>
      <c r="G275">
        <v>305</v>
      </c>
      <c r="H275">
        <v>85</v>
      </c>
      <c r="I275">
        <v>58276</v>
      </c>
      <c r="J275">
        <v>58052</v>
      </c>
      <c r="K275">
        <v>242</v>
      </c>
      <c r="L275" t="s">
        <v>500</v>
      </c>
      <c r="M275" t="s">
        <v>506</v>
      </c>
      <c r="N275">
        <f>SUM(F275:H275)/I275</f>
        <v>6.5515821264328367E-2</v>
      </c>
    </row>
    <row r="276" spans="1:14" x14ac:dyDescent="0.3">
      <c r="A276" t="s">
        <v>73</v>
      </c>
      <c r="B276" t="s">
        <v>501</v>
      </c>
      <c r="C276" s="24">
        <v>45593</v>
      </c>
      <c r="D276" t="s">
        <v>57</v>
      </c>
      <c r="E276" t="s">
        <v>524</v>
      </c>
      <c r="F276">
        <v>4929</v>
      </c>
      <c r="G276">
        <v>749</v>
      </c>
      <c r="H276">
        <v>452</v>
      </c>
      <c r="I276">
        <v>93651</v>
      </c>
      <c r="J276">
        <v>92810</v>
      </c>
      <c r="K276">
        <v>66</v>
      </c>
      <c r="L276" t="s">
        <v>505</v>
      </c>
      <c r="M276" t="s">
        <v>506</v>
      </c>
      <c r="N276">
        <f>SUM(F276:H276)/I276</f>
        <v>6.5455787978772245E-2</v>
      </c>
    </row>
    <row r="277" spans="1:14" x14ac:dyDescent="0.3">
      <c r="A277" t="s">
        <v>149</v>
      </c>
      <c r="B277" t="s">
        <v>23</v>
      </c>
      <c r="C277" s="24">
        <v>45587</v>
      </c>
      <c r="D277" t="s">
        <v>53</v>
      </c>
      <c r="E277" t="s">
        <v>493</v>
      </c>
      <c r="F277">
        <v>4782</v>
      </c>
      <c r="G277">
        <v>721</v>
      </c>
      <c r="H277">
        <v>82</v>
      </c>
      <c r="I277">
        <v>86076</v>
      </c>
      <c r="J277">
        <v>85339</v>
      </c>
      <c r="K277">
        <v>19</v>
      </c>
      <c r="L277" t="s">
        <v>505</v>
      </c>
      <c r="M277" t="s">
        <v>495</v>
      </c>
      <c r="N277">
        <f>SUM(F277:H277)/I277</f>
        <v>6.4884520656164318E-2</v>
      </c>
    </row>
    <row r="278" spans="1:14" x14ac:dyDescent="0.3">
      <c r="A278" t="s">
        <v>67</v>
      </c>
      <c r="B278" t="s">
        <v>18</v>
      </c>
      <c r="C278" s="24">
        <v>45624</v>
      </c>
      <c r="D278" t="s">
        <v>45</v>
      </c>
      <c r="E278" t="s">
        <v>510</v>
      </c>
      <c r="F278">
        <v>4213</v>
      </c>
      <c r="G278">
        <v>253</v>
      </c>
      <c r="H278">
        <v>434</v>
      </c>
      <c r="I278">
        <v>75834</v>
      </c>
      <c r="J278">
        <v>75437</v>
      </c>
      <c r="K278">
        <v>272</v>
      </c>
      <c r="L278" t="s">
        <v>494</v>
      </c>
      <c r="M278" t="s">
        <v>506</v>
      </c>
      <c r="N278">
        <f>SUM(F278:H278)/I278</f>
        <v>6.461481657304112E-2</v>
      </c>
    </row>
    <row r="279" spans="1:14" x14ac:dyDescent="0.3">
      <c r="A279" t="s">
        <v>190</v>
      </c>
      <c r="B279" t="s">
        <v>18</v>
      </c>
      <c r="C279" s="24">
        <v>45583</v>
      </c>
      <c r="D279" t="s">
        <v>57</v>
      </c>
      <c r="E279" t="s">
        <v>514</v>
      </c>
      <c r="F279">
        <v>4126</v>
      </c>
      <c r="G279">
        <v>426</v>
      </c>
      <c r="H279">
        <v>486</v>
      </c>
      <c r="I279">
        <v>78394</v>
      </c>
      <c r="J279">
        <v>77798</v>
      </c>
      <c r="K279">
        <v>88</v>
      </c>
      <c r="L279" t="s">
        <v>494</v>
      </c>
      <c r="M279" t="s">
        <v>506</v>
      </c>
      <c r="N279">
        <f>SUM(F279:H279)/I279</f>
        <v>6.4265122330790625E-2</v>
      </c>
    </row>
    <row r="280" spans="1:14" x14ac:dyDescent="0.3">
      <c r="A280" t="s">
        <v>335</v>
      </c>
      <c r="B280" t="s">
        <v>23</v>
      </c>
      <c r="C280" s="24">
        <v>45569</v>
      </c>
      <c r="D280" t="s">
        <v>53</v>
      </c>
      <c r="E280" t="s">
        <v>493</v>
      </c>
      <c r="F280">
        <v>4187</v>
      </c>
      <c r="G280">
        <v>66</v>
      </c>
      <c r="H280">
        <v>31</v>
      </c>
      <c r="I280">
        <v>66992</v>
      </c>
      <c r="J280">
        <v>66614</v>
      </c>
      <c r="K280">
        <v>62</v>
      </c>
      <c r="L280" t="s">
        <v>494</v>
      </c>
      <c r="N280">
        <f>SUM(F280:H280)/I280</f>
        <v>6.3947934081681396E-2</v>
      </c>
    </row>
    <row r="281" spans="1:14" x14ac:dyDescent="0.3">
      <c r="A281" t="s">
        <v>284</v>
      </c>
      <c r="B281" t="s">
        <v>38</v>
      </c>
      <c r="C281" s="24">
        <v>45544</v>
      </c>
      <c r="D281" t="s">
        <v>20</v>
      </c>
      <c r="E281" t="s">
        <v>518</v>
      </c>
      <c r="F281">
        <v>4054</v>
      </c>
      <c r="G281">
        <v>488</v>
      </c>
      <c r="H281">
        <v>373</v>
      </c>
      <c r="I281">
        <v>77026</v>
      </c>
      <c r="J281">
        <v>76881</v>
      </c>
      <c r="K281">
        <v>25</v>
      </c>
      <c r="L281" t="s">
        <v>498</v>
      </c>
      <c r="M281" t="s">
        <v>495</v>
      </c>
      <c r="N281">
        <f>SUM(F281:H281)/I281</f>
        <v>6.3809622724794221E-2</v>
      </c>
    </row>
    <row r="282" spans="1:14" x14ac:dyDescent="0.3">
      <c r="A282" t="s">
        <v>65</v>
      </c>
      <c r="B282" t="s">
        <v>18</v>
      </c>
      <c r="C282" s="24">
        <v>45745</v>
      </c>
      <c r="D282" t="s">
        <v>20</v>
      </c>
      <c r="E282" t="s">
        <v>507</v>
      </c>
      <c r="F282">
        <v>4712</v>
      </c>
      <c r="G282">
        <v>568</v>
      </c>
      <c r="H282">
        <v>127</v>
      </c>
      <c r="I282">
        <v>84816</v>
      </c>
      <c r="J282">
        <v>84691</v>
      </c>
      <c r="K282">
        <v>100</v>
      </c>
      <c r="L282" t="s">
        <v>505</v>
      </c>
      <c r="M282" t="s">
        <v>503</v>
      </c>
      <c r="N282">
        <f>SUM(F282:H282)/I282</f>
        <v>6.3749764195434822E-2</v>
      </c>
    </row>
    <row r="283" spans="1:14" x14ac:dyDescent="0.3">
      <c r="A283" t="s">
        <v>150</v>
      </c>
      <c r="B283" t="s">
        <v>501</v>
      </c>
      <c r="C283" s="24">
        <v>45526</v>
      </c>
      <c r="D283" t="s">
        <v>20</v>
      </c>
      <c r="E283" t="s">
        <v>513</v>
      </c>
      <c r="F283">
        <v>4295</v>
      </c>
      <c r="G283">
        <v>853</v>
      </c>
      <c r="H283">
        <v>325</v>
      </c>
      <c r="I283">
        <v>85900</v>
      </c>
      <c r="J283">
        <v>85788</v>
      </c>
      <c r="K283">
        <v>290</v>
      </c>
      <c r="L283" t="s">
        <v>498</v>
      </c>
      <c r="M283" t="s">
        <v>506</v>
      </c>
      <c r="N283">
        <f>SUM(F283:H283)/I283</f>
        <v>6.3713620488940623E-2</v>
      </c>
    </row>
    <row r="284" spans="1:14" x14ac:dyDescent="0.3">
      <c r="A284" t="s">
        <v>345</v>
      </c>
      <c r="B284" t="s">
        <v>18</v>
      </c>
      <c r="C284" s="24">
        <v>45629</v>
      </c>
      <c r="D284" t="s">
        <v>24</v>
      </c>
      <c r="E284" t="s">
        <v>511</v>
      </c>
      <c r="F284">
        <v>4606</v>
      </c>
      <c r="G284">
        <v>931</v>
      </c>
      <c r="H284">
        <v>230</v>
      </c>
      <c r="I284">
        <v>92120</v>
      </c>
      <c r="J284">
        <v>91440</v>
      </c>
      <c r="K284">
        <v>56</v>
      </c>
      <c r="L284" t="s">
        <v>498</v>
      </c>
      <c r="N284">
        <f>SUM(F284:H284)/I284</f>
        <v>6.2603126356925748E-2</v>
      </c>
    </row>
    <row r="285" spans="1:14" x14ac:dyDescent="0.3">
      <c r="A285" t="s">
        <v>303</v>
      </c>
      <c r="B285" t="s">
        <v>18</v>
      </c>
      <c r="C285" s="24">
        <v>45754</v>
      </c>
      <c r="D285" t="s">
        <v>53</v>
      </c>
      <c r="E285" t="s">
        <v>512</v>
      </c>
      <c r="F285">
        <v>3718</v>
      </c>
      <c r="G285">
        <v>385</v>
      </c>
      <c r="H285">
        <v>310</v>
      </c>
      <c r="I285">
        <v>70642</v>
      </c>
      <c r="J285">
        <v>69749</v>
      </c>
      <c r="K285">
        <v>233</v>
      </c>
      <c r="L285" t="s">
        <v>498</v>
      </c>
      <c r="M285" t="s">
        <v>499</v>
      </c>
      <c r="N285">
        <f>SUM(F285:H285)/I285</f>
        <v>6.246991874522239E-2</v>
      </c>
    </row>
    <row r="286" spans="1:14" x14ac:dyDescent="0.3">
      <c r="A286" t="s">
        <v>168</v>
      </c>
      <c r="B286" t="s">
        <v>501</v>
      </c>
      <c r="C286" s="24">
        <v>45464</v>
      </c>
      <c r="D286" t="s">
        <v>24</v>
      </c>
      <c r="E286" t="s">
        <v>509</v>
      </c>
      <c r="F286">
        <v>4832</v>
      </c>
      <c r="G286">
        <v>893</v>
      </c>
      <c r="H286">
        <v>10</v>
      </c>
      <c r="I286">
        <v>91808</v>
      </c>
      <c r="J286">
        <v>91296</v>
      </c>
      <c r="K286">
        <v>182</v>
      </c>
      <c r="L286" t="s">
        <v>498</v>
      </c>
      <c r="N286">
        <f>SUM(F286:H286)/I286</f>
        <v>6.2467323109097243E-2</v>
      </c>
    </row>
    <row r="287" spans="1:14" x14ac:dyDescent="0.3">
      <c r="A287" t="s">
        <v>263</v>
      </c>
      <c r="B287" t="s">
        <v>23</v>
      </c>
      <c r="C287" s="24">
        <v>45788</v>
      </c>
      <c r="D287" t="s">
        <v>24</v>
      </c>
      <c r="E287" t="s">
        <v>521</v>
      </c>
      <c r="F287">
        <v>2493</v>
      </c>
      <c r="G287">
        <v>97</v>
      </c>
      <c r="H287">
        <v>44</v>
      </c>
      <c r="I287">
        <v>42381</v>
      </c>
      <c r="J287">
        <v>41991</v>
      </c>
      <c r="K287">
        <v>242</v>
      </c>
      <c r="L287" t="s">
        <v>498</v>
      </c>
      <c r="M287" t="s">
        <v>506</v>
      </c>
      <c r="N287">
        <f>SUM(F287:H287)/I287</f>
        <v>6.2150491965739366E-2</v>
      </c>
    </row>
    <row r="288" spans="1:14" x14ac:dyDescent="0.3">
      <c r="A288" t="s">
        <v>263</v>
      </c>
      <c r="B288" t="s">
        <v>23</v>
      </c>
      <c r="C288" s="24">
        <v>45788</v>
      </c>
      <c r="D288" t="s">
        <v>24</v>
      </c>
      <c r="E288" t="s">
        <v>521</v>
      </c>
      <c r="F288">
        <v>2493</v>
      </c>
      <c r="G288">
        <v>97</v>
      </c>
      <c r="H288">
        <v>44</v>
      </c>
      <c r="I288">
        <v>42381</v>
      </c>
      <c r="J288">
        <v>41991</v>
      </c>
      <c r="K288">
        <v>242</v>
      </c>
      <c r="L288" t="s">
        <v>496</v>
      </c>
      <c r="M288" t="s">
        <v>506</v>
      </c>
      <c r="N288">
        <f>SUM(F288:H288)/I288</f>
        <v>6.2150491965739366E-2</v>
      </c>
    </row>
    <row r="289" spans="1:14" x14ac:dyDescent="0.3">
      <c r="A289" t="s">
        <v>244</v>
      </c>
      <c r="B289" t="s">
        <v>23</v>
      </c>
      <c r="C289" s="24">
        <v>45608</v>
      </c>
      <c r="D289" t="s">
        <v>24</v>
      </c>
      <c r="E289" t="s">
        <v>521</v>
      </c>
      <c r="F289">
        <v>3338</v>
      </c>
      <c r="G289">
        <v>277</v>
      </c>
      <c r="H289">
        <v>118</v>
      </c>
      <c r="I289">
        <v>60084</v>
      </c>
      <c r="J289">
        <v>59842</v>
      </c>
      <c r="K289">
        <v>252</v>
      </c>
      <c r="L289" t="s">
        <v>498</v>
      </c>
      <c r="N289">
        <f>SUM(F289:H289)/I289</f>
        <v>6.2129685107516146E-2</v>
      </c>
    </row>
    <row r="290" spans="1:14" x14ac:dyDescent="0.3">
      <c r="A290" t="s">
        <v>273</v>
      </c>
      <c r="B290" t="s">
        <v>23</v>
      </c>
      <c r="C290" s="24">
        <v>45757</v>
      </c>
      <c r="D290" t="s">
        <v>20</v>
      </c>
      <c r="E290" t="s">
        <v>508</v>
      </c>
      <c r="F290">
        <v>3128</v>
      </c>
      <c r="G290">
        <v>211</v>
      </c>
      <c r="H290">
        <v>197</v>
      </c>
      <c r="I290">
        <v>59432</v>
      </c>
      <c r="J290">
        <v>59182</v>
      </c>
      <c r="K290">
        <v>238</v>
      </c>
      <c r="L290" t="s">
        <v>505</v>
      </c>
      <c r="N290">
        <f>SUM(F290:H290)/I290</f>
        <v>5.9496567505720827E-2</v>
      </c>
    </row>
    <row r="291" spans="1:14" x14ac:dyDescent="0.3">
      <c r="A291" t="s">
        <v>117</v>
      </c>
      <c r="B291" t="s">
        <v>18</v>
      </c>
      <c r="C291" s="24">
        <v>45589</v>
      </c>
      <c r="D291" t="s">
        <v>14</v>
      </c>
      <c r="E291" t="s">
        <v>515</v>
      </c>
      <c r="F291">
        <v>3888</v>
      </c>
      <c r="G291">
        <v>604</v>
      </c>
      <c r="H291">
        <v>128</v>
      </c>
      <c r="I291">
        <v>77760</v>
      </c>
      <c r="J291">
        <v>77167</v>
      </c>
      <c r="K291">
        <v>20</v>
      </c>
      <c r="L291" t="s">
        <v>494</v>
      </c>
      <c r="M291" t="s">
        <v>495</v>
      </c>
      <c r="N291">
        <f>SUM(F291:H291)/I291</f>
        <v>5.941358024691358E-2</v>
      </c>
    </row>
    <row r="292" spans="1:14" x14ac:dyDescent="0.3">
      <c r="A292" t="s">
        <v>55</v>
      </c>
      <c r="B292" t="s">
        <v>501</v>
      </c>
      <c r="C292" s="24">
        <v>45502</v>
      </c>
      <c r="D292" t="s">
        <v>57</v>
      </c>
      <c r="E292" t="s">
        <v>524</v>
      </c>
      <c r="F292">
        <v>1509</v>
      </c>
      <c r="G292">
        <v>88</v>
      </c>
      <c r="H292">
        <v>163</v>
      </c>
      <c r="I292">
        <v>30180</v>
      </c>
      <c r="J292">
        <v>29689</v>
      </c>
      <c r="K292">
        <v>119</v>
      </c>
      <c r="L292" t="s">
        <v>505</v>
      </c>
      <c r="M292" t="s">
        <v>499</v>
      </c>
      <c r="N292">
        <f>SUM(F292:H292)/I292</f>
        <v>5.8316766070245198E-2</v>
      </c>
    </row>
    <row r="293" spans="1:14" x14ac:dyDescent="0.3">
      <c r="A293" t="s">
        <v>191</v>
      </c>
      <c r="B293" t="s">
        <v>501</v>
      </c>
      <c r="C293" s="24">
        <v>45553</v>
      </c>
      <c r="D293" t="s">
        <v>20</v>
      </c>
      <c r="E293" t="s">
        <v>513</v>
      </c>
      <c r="F293">
        <v>2143</v>
      </c>
      <c r="G293">
        <v>12</v>
      </c>
      <c r="H293">
        <v>204</v>
      </c>
      <c r="I293">
        <v>40717</v>
      </c>
      <c r="J293">
        <v>40125</v>
      </c>
      <c r="K293">
        <v>248</v>
      </c>
      <c r="L293" t="s">
        <v>505</v>
      </c>
      <c r="M293" t="s">
        <v>499</v>
      </c>
      <c r="N293">
        <f>SUM(F293:H293)/I293</f>
        <v>5.7936488444630008E-2</v>
      </c>
    </row>
    <row r="294" spans="1:14" x14ac:dyDescent="0.3">
      <c r="A294" t="s">
        <v>114</v>
      </c>
      <c r="B294" t="s">
        <v>38</v>
      </c>
      <c r="C294" s="24">
        <v>45713</v>
      </c>
      <c r="D294" t="s">
        <v>14</v>
      </c>
      <c r="E294" t="s">
        <v>517</v>
      </c>
      <c r="F294">
        <v>3095</v>
      </c>
      <c r="G294">
        <v>39</v>
      </c>
      <c r="H294">
        <v>78</v>
      </c>
      <c r="I294">
        <v>55710</v>
      </c>
      <c r="J294">
        <v>54808</v>
      </c>
      <c r="K294">
        <v>93</v>
      </c>
      <c r="L294" t="s">
        <v>505</v>
      </c>
      <c r="N294">
        <f>SUM(F294:H294)/I294</f>
        <v>5.7655717106444085E-2</v>
      </c>
    </row>
    <row r="295" spans="1:14" x14ac:dyDescent="0.3">
      <c r="A295" t="s">
        <v>157</v>
      </c>
      <c r="B295" t="s">
        <v>38</v>
      </c>
      <c r="C295" s="24">
        <v>45617</v>
      </c>
      <c r="D295" t="s">
        <v>20</v>
      </c>
      <c r="E295" t="s">
        <v>518</v>
      </c>
      <c r="F295">
        <v>3773</v>
      </c>
      <c r="G295">
        <v>299</v>
      </c>
      <c r="H295">
        <v>38</v>
      </c>
      <c r="I295">
        <v>71687</v>
      </c>
      <c r="J295">
        <v>71447</v>
      </c>
      <c r="K295">
        <v>286</v>
      </c>
      <c r="L295" t="s">
        <v>494</v>
      </c>
      <c r="M295" t="s">
        <v>495</v>
      </c>
      <c r="N295">
        <f>SUM(F295:H295)/I295</f>
        <v>5.7332570758993957E-2</v>
      </c>
    </row>
    <row r="296" spans="1:14" x14ac:dyDescent="0.3">
      <c r="A296" t="s">
        <v>173</v>
      </c>
      <c r="B296" t="s">
        <v>23</v>
      </c>
      <c r="C296" s="24">
        <v>45463</v>
      </c>
      <c r="D296" t="s">
        <v>20</v>
      </c>
      <c r="E296" t="s">
        <v>508</v>
      </c>
      <c r="F296">
        <v>4672</v>
      </c>
      <c r="G296">
        <v>325</v>
      </c>
      <c r="H296">
        <v>32</v>
      </c>
      <c r="I296">
        <v>88768</v>
      </c>
      <c r="J296">
        <v>87833</v>
      </c>
      <c r="K296">
        <v>118</v>
      </c>
      <c r="L296" t="s">
        <v>505</v>
      </c>
      <c r="N296">
        <f>SUM(F296:H296)/I296</f>
        <v>5.6653298485940883E-2</v>
      </c>
    </row>
    <row r="297" spans="1:14" x14ac:dyDescent="0.3">
      <c r="A297" t="s">
        <v>249</v>
      </c>
      <c r="B297" t="s">
        <v>38</v>
      </c>
      <c r="C297" s="24">
        <v>45516</v>
      </c>
      <c r="D297" t="s">
        <v>20</v>
      </c>
      <c r="E297" t="s">
        <v>518</v>
      </c>
      <c r="F297">
        <v>1878</v>
      </c>
      <c r="G297">
        <v>62</v>
      </c>
      <c r="H297">
        <v>179</v>
      </c>
      <c r="I297">
        <v>37560</v>
      </c>
      <c r="J297">
        <v>36874</v>
      </c>
      <c r="K297">
        <v>142</v>
      </c>
      <c r="L297" t="s">
        <v>498</v>
      </c>
      <c r="M297" t="s">
        <v>506</v>
      </c>
      <c r="N297">
        <f>SUM(F297:H297)/I297</f>
        <v>5.6416400425985093E-2</v>
      </c>
    </row>
    <row r="298" spans="1:14" x14ac:dyDescent="0.3">
      <c r="A298" t="s">
        <v>336</v>
      </c>
      <c r="B298" t="s">
        <v>501</v>
      </c>
      <c r="C298" s="24">
        <v>45569</v>
      </c>
      <c r="D298" t="s">
        <v>45</v>
      </c>
      <c r="E298" t="s">
        <v>519</v>
      </c>
      <c r="F298">
        <v>1963</v>
      </c>
      <c r="G298">
        <v>213</v>
      </c>
      <c r="H298">
        <v>19</v>
      </c>
      <c r="I298">
        <v>39260</v>
      </c>
      <c r="J298">
        <v>38771</v>
      </c>
      <c r="K298">
        <v>145</v>
      </c>
      <c r="L298" t="s">
        <v>494</v>
      </c>
      <c r="N298">
        <f>SUM(F298:H298)/I298</f>
        <v>5.5909322465613857E-2</v>
      </c>
    </row>
    <row r="299" spans="1:14" x14ac:dyDescent="0.3">
      <c r="A299" t="s">
        <v>251</v>
      </c>
      <c r="B299" t="s">
        <v>501</v>
      </c>
      <c r="C299" s="24">
        <v>45789</v>
      </c>
      <c r="D299" t="s">
        <v>53</v>
      </c>
      <c r="E299" t="s">
        <v>502</v>
      </c>
      <c r="F299">
        <v>2795</v>
      </c>
      <c r="G299">
        <v>105</v>
      </c>
      <c r="H299">
        <v>49</v>
      </c>
      <c r="I299">
        <v>53105</v>
      </c>
      <c r="J299">
        <v>52307</v>
      </c>
      <c r="K299">
        <v>204</v>
      </c>
      <c r="L299" t="s">
        <v>498</v>
      </c>
      <c r="M299" t="s">
        <v>503</v>
      </c>
      <c r="N299">
        <f>SUM(F299:H299)/I299</f>
        <v>5.5531494209584788E-2</v>
      </c>
    </row>
    <row r="300" spans="1:14" x14ac:dyDescent="0.3">
      <c r="A300" t="s">
        <v>172</v>
      </c>
      <c r="B300" t="s">
        <v>18</v>
      </c>
      <c r="C300" s="24">
        <v>45463</v>
      </c>
      <c r="D300" t="s">
        <v>14</v>
      </c>
      <c r="E300" t="s">
        <v>515</v>
      </c>
      <c r="F300">
        <v>3798</v>
      </c>
      <c r="G300">
        <v>31</v>
      </c>
      <c r="H300">
        <v>279</v>
      </c>
      <c r="I300">
        <v>75960</v>
      </c>
      <c r="J300">
        <v>75813</v>
      </c>
      <c r="K300">
        <v>266</v>
      </c>
      <c r="L300" t="s">
        <v>498</v>
      </c>
      <c r="M300" t="s">
        <v>495</v>
      </c>
      <c r="N300">
        <f>SUM(F300:H300)/I300</f>
        <v>5.4081095313322801E-2</v>
      </c>
    </row>
    <row r="301" spans="1:14" x14ac:dyDescent="0.3">
      <c r="A301" t="s">
        <v>29</v>
      </c>
      <c r="B301" t="s">
        <v>23</v>
      </c>
      <c r="C301" s="24">
        <v>45504</v>
      </c>
      <c r="D301" t="s">
        <v>20</v>
      </c>
      <c r="E301" t="s">
        <v>508</v>
      </c>
      <c r="F301">
        <v>4507</v>
      </c>
      <c r="G301">
        <v>217</v>
      </c>
      <c r="H301">
        <v>13</v>
      </c>
      <c r="I301">
        <v>90140</v>
      </c>
      <c r="J301">
        <v>89591</v>
      </c>
      <c r="K301">
        <v>125</v>
      </c>
      <c r="L301" t="s">
        <v>494</v>
      </c>
      <c r="M301" t="s">
        <v>503</v>
      </c>
      <c r="N301">
        <f>SUM(F301:H301)/I301</f>
        <v>5.2551586421122697E-2</v>
      </c>
    </row>
    <row r="302" spans="1:14" x14ac:dyDescent="0.3">
      <c r="A302" t="s">
        <v>228</v>
      </c>
      <c r="B302" t="s">
        <v>501</v>
      </c>
      <c r="C302" s="24">
        <v>45672</v>
      </c>
      <c r="D302" t="s">
        <v>53</v>
      </c>
      <c r="E302" t="s">
        <v>502</v>
      </c>
      <c r="F302">
        <v>3774</v>
      </c>
      <c r="G302">
        <v>239</v>
      </c>
      <c r="H302">
        <v>39</v>
      </c>
      <c r="I302">
        <v>60384</v>
      </c>
      <c r="J302">
        <v>59490</v>
      </c>
      <c r="K302">
        <v>241</v>
      </c>
      <c r="L302" t="s">
        <v>498</v>
      </c>
      <c r="M302" t="s">
        <v>503</v>
      </c>
    </row>
    <row r="303" spans="1:14" x14ac:dyDescent="0.3">
      <c r="A303" t="s">
        <v>201</v>
      </c>
      <c r="B303" t="s">
        <v>38</v>
      </c>
      <c r="C303" s="24">
        <v>45582</v>
      </c>
      <c r="D303" t="s">
        <v>14</v>
      </c>
      <c r="E303" t="s">
        <v>517</v>
      </c>
      <c r="F303">
        <v>3575</v>
      </c>
      <c r="G303">
        <v>749</v>
      </c>
      <c r="H303">
        <v>111</v>
      </c>
      <c r="I303">
        <v>21450</v>
      </c>
      <c r="J303">
        <v>20785</v>
      </c>
      <c r="K303">
        <v>195</v>
      </c>
      <c r="L303" t="s">
        <v>505</v>
      </c>
      <c r="M303" t="s">
        <v>499</v>
      </c>
    </row>
    <row r="304" spans="1:14" x14ac:dyDescent="0.3">
      <c r="A304" t="s">
        <v>88</v>
      </c>
      <c r="B304" t="s">
        <v>38</v>
      </c>
      <c r="C304" s="24">
        <v>45743</v>
      </c>
      <c r="D304" t="s">
        <v>45</v>
      </c>
      <c r="E304" t="s">
        <v>520</v>
      </c>
      <c r="F304">
        <v>4941</v>
      </c>
      <c r="G304">
        <v>414</v>
      </c>
      <c r="H304">
        <v>266</v>
      </c>
      <c r="I304">
        <v>39528</v>
      </c>
      <c r="J304">
        <v>39154</v>
      </c>
      <c r="K304">
        <v>217</v>
      </c>
      <c r="L304" t="s">
        <v>498</v>
      </c>
      <c r="M304" t="s">
        <v>503</v>
      </c>
    </row>
    <row r="305" spans="1:13" x14ac:dyDescent="0.3">
      <c r="A305" t="s">
        <v>246</v>
      </c>
      <c r="B305" t="s">
        <v>501</v>
      </c>
      <c r="C305" s="24">
        <v>45577</v>
      </c>
      <c r="D305" t="s">
        <v>57</v>
      </c>
      <c r="E305" t="s">
        <v>524</v>
      </c>
      <c r="F305">
        <v>3641</v>
      </c>
      <c r="G305">
        <v>226</v>
      </c>
      <c r="H305">
        <v>46</v>
      </c>
      <c r="I305">
        <v>40051</v>
      </c>
      <c r="J305">
        <v>39319</v>
      </c>
      <c r="K305">
        <v>296</v>
      </c>
      <c r="L305" t="s">
        <v>505</v>
      </c>
      <c r="M305" t="s">
        <v>506</v>
      </c>
    </row>
    <row r="306" spans="1:13" x14ac:dyDescent="0.3">
      <c r="A306" t="s">
        <v>383</v>
      </c>
      <c r="B306" t="s">
        <v>23</v>
      </c>
      <c r="C306" s="24">
        <v>45658</v>
      </c>
      <c r="D306" t="s">
        <v>20</v>
      </c>
      <c r="E306" t="s">
        <v>508</v>
      </c>
      <c r="F306">
        <v>3535</v>
      </c>
      <c r="G306">
        <v>494</v>
      </c>
      <c r="H306">
        <v>152</v>
      </c>
      <c r="I306">
        <v>53025</v>
      </c>
      <c r="J306">
        <v>52791</v>
      </c>
      <c r="K306">
        <v>44</v>
      </c>
      <c r="L306" t="s">
        <v>498</v>
      </c>
      <c r="M306" t="s">
        <v>506</v>
      </c>
    </row>
    <row r="307" spans="1:13" x14ac:dyDescent="0.3">
      <c r="A307" t="s">
        <v>326</v>
      </c>
      <c r="B307" t="s">
        <v>18</v>
      </c>
      <c r="C307" s="24">
        <v>45509</v>
      </c>
      <c r="D307" t="s">
        <v>53</v>
      </c>
      <c r="E307" t="s">
        <v>512</v>
      </c>
      <c r="F307">
        <v>1741</v>
      </c>
      <c r="G307">
        <v>831</v>
      </c>
      <c r="H307">
        <v>345</v>
      </c>
      <c r="I307">
        <v>17410</v>
      </c>
      <c r="J307">
        <v>16844</v>
      </c>
      <c r="K307">
        <v>58</v>
      </c>
      <c r="L307" t="s">
        <v>505</v>
      </c>
      <c r="M307" t="s">
        <v>503</v>
      </c>
    </row>
    <row r="308" spans="1:13" x14ac:dyDescent="0.3">
      <c r="A308" t="s">
        <v>302</v>
      </c>
      <c r="B308" t="s">
        <v>23</v>
      </c>
      <c r="C308" s="24">
        <v>45450</v>
      </c>
      <c r="D308" t="s">
        <v>20</v>
      </c>
      <c r="E308" t="s">
        <v>508</v>
      </c>
      <c r="F308">
        <v>1556</v>
      </c>
      <c r="G308">
        <v>195</v>
      </c>
      <c r="H308">
        <v>131</v>
      </c>
      <c r="I308">
        <v>9336</v>
      </c>
      <c r="J308">
        <v>8875</v>
      </c>
      <c r="K308">
        <v>137</v>
      </c>
      <c r="L308" t="s">
        <v>498</v>
      </c>
      <c r="M308" t="s">
        <v>499</v>
      </c>
    </row>
    <row r="309" spans="1:13" x14ac:dyDescent="0.3">
      <c r="A309" t="s">
        <v>313</v>
      </c>
      <c r="B309" t="s">
        <v>18</v>
      </c>
      <c r="C309" s="24">
        <v>45753</v>
      </c>
      <c r="D309" t="s">
        <v>24</v>
      </c>
      <c r="E309" t="s">
        <v>511</v>
      </c>
      <c r="F309">
        <v>4236</v>
      </c>
      <c r="G309">
        <v>711</v>
      </c>
      <c r="H309">
        <v>298</v>
      </c>
      <c r="I309">
        <v>21180</v>
      </c>
      <c r="J309">
        <v>20516</v>
      </c>
      <c r="K309">
        <v>238</v>
      </c>
      <c r="L309" t="s">
        <v>494</v>
      </c>
      <c r="M309" t="s">
        <v>495</v>
      </c>
    </row>
    <row r="310" spans="1:13" x14ac:dyDescent="0.3">
      <c r="A310" t="s">
        <v>95</v>
      </c>
      <c r="B310" t="s">
        <v>23</v>
      </c>
      <c r="C310" s="24">
        <v>45622</v>
      </c>
      <c r="D310" t="s">
        <v>45</v>
      </c>
      <c r="E310" t="s">
        <v>497</v>
      </c>
      <c r="F310">
        <v>4516</v>
      </c>
      <c r="G310">
        <v>836</v>
      </c>
      <c r="H310">
        <v>169</v>
      </c>
      <c r="I310">
        <v>49676</v>
      </c>
      <c r="J310">
        <v>49257</v>
      </c>
      <c r="K310">
        <v>282</v>
      </c>
      <c r="L310" t="s">
        <v>505</v>
      </c>
      <c r="M310" t="s">
        <v>506</v>
      </c>
    </row>
    <row r="311" spans="1:13" x14ac:dyDescent="0.3">
      <c r="A311" t="s">
        <v>362</v>
      </c>
      <c r="B311" t="s">
        <v>501</v>
      </c>
      <c r="C311" s="24">
        <v>45537</v>
      </c>
      <c r="D311" t="s">
        <v>24</v>
      </c>
      <c r="E311" t="s">
        <v>509</v>
      </c>
      <c r="F311">
        <v>4905</v>
      </c>
      <c r="G311">
        <v>845</v>
      </c>
      <c r="H311">
        <v>129</v>
      </c>
      <c r="I311">
        <v>98100</v>
      </c>
      <c r="J311">
        <v>97772</v>
      </c>
      <c r="K311">
        <v>279</v>
      </c>
      <c r="L311" t="s">
        <v>498</v>
      </c>
      <c r="M311" t="s">
        <v>499</v>
      </c>
    </row>
    <row r="312" spans="1:13" x14ac:dyDescent="0.3">
      <c r="A312" t="s">
        <v>158</v>
      </c>
      <c r="B312" t="s">
        <v>501</v>
      </c>
      <c r="C312" s="24">
        <v>45586</v>
      </c>
      <c r="D312" t="s">
        <v>14</v>
      </c>
      <c r="E312" t="s">
        <v>526</v>
      </c>
      <c r="F312">
        <v>4275</v>
      </c>
      <c r="G312">
        <v>680</v>
      </c>
      <c r="H312">
        <v>385</v>
      </c>
      <c r="I312">
        <v>64125</v>
      </c>
      <c r="J312">
        <v>63650</v>
      </c>
      <c r="K312">
        <v>104</v>
      </c>
      <c r="L312" t="s">
        <v>505</v>
      </c>
      <c r="M312" t="s">
        <v>506</v>
      </c>
    </row>
    <row r="313" spans="1:13" x14ac:dyDescent="0.3">
      <c r="A313" t="s">
        <v>158</v>
      </c>
      <c r="B313" t="s">
        <v>501</v>
      </c>
      <c r="C313" s="24">
        <v>45586</v>
      </c>
      <c r="D313" t="s">
        <v>14</v>
      </c>
      <c r="E313" t="s">
        <v>526</v>
      </c>
      <c r="F313">
        <v>4275</v>
      </c>
      <c r="G313">
        <v>680</v>
      </c>
      <c r="H313">
        <v>385</v>
      </c>
      <c r="I313">
        <v>64125</v>
      </c>
      <c r="J313">
        <v>63650</v>
      </c>
      <c r="K313">
        <v>104</v>
      </c>
      <c r="L313" t="s">
        <v>498</v>
      </c>
      <c r="M313" t="s">
        <v>506</v>
      </c>
    </row>
    <row r="314" spans="1:13" x14ac:dyDescent="0.3">
      <c r="A314" t="s">
        <v>158</v>
      </c>
      <c r="B314" t="s">
        <v>501</v>
      </c>
      <c r="C314" s="24">
        <v>45586</v>
      </c>
      <c r="D314" t="s">
        <v>14</v>
      </c>
      <c r="E314" t="s">
        <v>526</v>
      </c>
      <c r="F314">
        <v>4275</v>
      </c>
      <c r="G314">
        <v>680</v>
      </c>
      <c r="H314">
        <v>385</v>
      </c>
      <c r="I314">
        <v>64125</v>
      </c>
      <c r="J314">
        <v>63650</v>
      </c>
      <c r="K314">
        <v>104</v>
      </c>
      <c r="L314" t="s">
        <v>496</v>
      </c>
      <c r="M314" t="s">
        <v>506</v>
      </c>
    </row>
    <row r="315" spans="1:13" x14ac:dyDescent="0.3">
      <c r="A315" t="s">
        <v>155</v>
      </c>
      <c r="B315" t="s">
        <v>501</v>
      </c>
      <c r="C315" s="24">
        <v>45738</v>
      </c>
      <c r="D315" t="s">
        <v>24</v>
      </c>
      <c r="E315" t="s">
        <v>509</v>
      </c>
      <c r="F315">
        <v>3166</v>
      </c>
      <c r="G315">
        <v>90</v>
      </c>
      <c r="H315">
        <v>341</v>
      </c>
      <c r="I315">
        <v>56988</v>
      </c>
      <c r="J315">
        <v>56125</v>
      </c>
      <c r="K315">
        <v>135</v>
      </c>
      <c r="L315" t="s">
        <v>505</v>
      </c>
      <c r="M315" t="s">
        <v>499</v>
      </c>
    </row>
    <row r="316" spans="1:13" x14ac:dyDescent="0.3">
      <c r="A316" t="s">
        <v>346</v>
      </c>
      <c r="B316" t="s">
        <v>38</v>
      </c>
      <c r="C316" s="24">
        <v>45568</v>
      </c>
      <c r="D316" t="s">
        <v>14</v>
      </c>
      <c r="E316" t="s">
        <v>517</v>
      </c>
      <c r="F316">
        <v>1488</v>
      </c>
      <c r="G316">
        <v>417</v>
      </c>
      <c r="H316">
        <v>168</v>
      </c>
      <c r="I316">
        <v>19344</v>
      </c>
      <c r="J316">
        <v>18395</v>
      </c>
      <c r="K316">
        <v>30</v>
      </c>
      <c r="L316" t="s">
        <v>494</v>
      </c>
      <c r="M316" t="s">
        <v>503</v>
      </c>
    </row>
    <row r="317" spans="1:13" x14ac:dyDescent="0.3">
      <c r="A317" t="s">
        <v>286</v>
      </c>
      <c r="B317" t="s">
        <v>23</v>
      </c>
      <c r="C317" s="24">
        <v>45786</v>
      </c>
      <c r="D317" t="s">
        <v>53</v>
      </c>
      <c r="E317" t="s">
        <v>493</v>
      </c>
      <c r="F317">
        <v>3367</v>
      </c>
      <c r="G317">
        <v>302</v>
      </c>
      <c r="H317">
        <v>57</v>
      </c>
      <c r="I317">
        <v>63973</v>
      </c>
      <c r="J317">
        <v>63789</v>
      </c>
      <c r="K317">
        <v>157</v>
      </c>
      <c r="L317" t="s">
        <v>494</v>
      </c>
      <c r="M317" t="s">
        <v>499</v>
      </c>
    </row>
    <row r="318" spans="1:13" x14ac:dyDescent="0.3">
      <c r="A318" t="s">
        <v>202</v>
      </c>
      <c r="B318" t="s">
        <v>23</v>
      </c>
      <c r="C318" s="24">
        <v>45552</v>
      </c>
      <c r="D318" t="s">
        <v>45</v>
      </c>
      <c r="E318" t="s">
        <v>497</v>
      </c>
      <c r="F318">
        <v>571</v>
      </c>
      <c r="G318">
        <v>190</v>
      </c>
      <c r="H318">
        <v>352</v>
      </c>
      <c r="I318">
        <v>9707</v>
      </c>
      <c r="J318">
        <v>9418</v>
      </c>
      <c r="K318">
        <v>231</v>
      </c>
      <c r="L318" t="s">
        <v>498</v>
      </c>
      <c r="M318" t="s">
        <v>506</v>
      </c>
    </row>
    <row r="319" spans="1:13" x14ac:dyDescent="0.3">
      <c r="A319" t="s">
        <v>195</v>
      </c>
      <c r="B319" t="s">
        <v>501</v>
      </c>
      <c r="C319" s="24">
        <v>45491</v>
      </c>
      <c r="D319" t="s">
        <v>45</v>
      </c>
      <c r="E319" t="s">
        <v>519</v>
      </c>
      <c r="F319">
        <v>4021</v>
      </c>
      <c r="G319">
        <v>794</v>
      </c>
      <c r="H319">
        <v>77</v>
      </c>
      <c r="I319">
        <v>36189</v>
      </c>
      <c r="J319">
        <v>35505</v>
      </c>
      <c r="K319">
        <v>174</v>
      </c>
      <c r="L319" t="s">
        <v>505</v>
      </c>
    </row>
    <row r="320" spans="1:13" x14ac:dyDescent="0.3">
      <c r="A320" t="s">
        <v>110</v>
      </c>
      <c r="B320" t="s">
        <v>501</v>
      </c>
      <c r="C320" s="24">
        <v>45560</v>
      </c>
      <c r="D320" t="s">
        <v>14</v>
      </c>
      <c r="E320" t="s">
        <v>526</v>
      </c>
      <c r="F320">
        <v>3389</v>
      </c>
      <c r="G320">
        <v>344</v>
      </c>
      <c r="H320">
        <v>229</v>
      </c>
      <c r="I320">
        <v>20334</v>
      </c>
      <c r="J320">
        <v>19443</v>
      </c>
      <c r="K320">
        <v>228</v>
      </c>
      <c r="L320" t="s">
        <v>494</v>
      </c>
      <c r="M320" t="s">
        <v>503</v>
      </c>
    </row>
    <row r="321" spans="1:13" x14ac:dyDescent="0.3">
      <c r="A321" t="s">
        <v>220</v>
      </c>
      <c r="B321" t="s">
        <v>38</v>
      </c>
      <c r="C321" s="24">
        <v>45519</v>
      </c>
      <c r="D321" t="s">
        <v>53</v>
      </c>
      <c r="E321" t="s">
        <v>516</v>
      </c>
      <c r="F321">
        <v>1164</v>
      </c>
      <c r="G321">
        <v>616</v>
      </c>
      <c r="H321">
        <v>324</v>
      </c>
      <c r="I321">
        <v>6984</v>
      </c>
      <c r="J321">
        <v>6636</v>
      </c>
      <c r="K321">
        <v>82</v>
      </c>
      <c r="L321" t="s">
        <v>505</v>
      </c>
      <c r="M321" t="s">
        <v>495</v>
      </c>
    </row>
    <row r="322" spans="1:13" x14ac:dyDescent="0.3">
      <c r="A322" t="s">
        <v>208</v>
      </c>
      <c r="B322" t="s">
        <v>501</v>
      </c>
      <c r="C322" s="24">
        <v>45764</v>
      </c>
      <c r="D322" t="s">
        <v>20</v>
      </c>
      <c r="E322" t="s">
        <v>513</v>
      </c>
      <c r="F322">
        <v>4780</v>
      </c>
      <c r="G322">
        <v>691</v>
      </c>
      <c r="H322">
        <v>380</v>
      </c>
      <c r="I322">
        <v>86040</v>
      </c>
      <c r="J322">
        <v>85743</v>
      </c>
      <c r="K322">
        <v>262</v>
      </c>
      <c r="L322" t="s">
        <v>494</v>
      </c>
      <c r="M322" t="s">
        <v>503</v>
      </c>
    </row>
    <row r="323" spans="1:13" x14ac:dyDescent="0.3">
      <c r="A323" t="s">
        <v>68</v>
      </c>
      <c r="B323" t="s">
        <v>18</v>
      </c>
      <c r="C323" s="24">
        <v>45624</v>
      </c>
      <c r="D323" t="s">
        <v>20</v>
      </c>
      <c r="E323" t="s">
        <v>507</v>
      </c>
      <c r="F323">
        <v>2751</v>
      </c>
      <c r="G323">
        <v>33</v>
      </c>
      <c r="H323">
        <v>430</v>
      </c>
      <c r="I323">
        <v>44016</v>
      </c>
      <c r="J323">
        <v>43415</v>
      </c>
      <c r="K323">
        <v>129</v>
      </c>
      <c r="L323" t="s">
        <v>494</v>
      </c>
    </row>
    <row r="324" spans="1:13" x14ac:dyDescent="0.3">
      <c r="A324" t="s">
        <v>170</v>
      </c>
      <c r="B324" t="s">
        <v>38</v>
      </c>
      <c r="C324" s="24">
        <v>45646</v>
      </c>
      <c r="D324" t="s">
        <v>20</v>
      </c>
      <c r="E324" t="s">
        <v>518</v>
      </c>
      <c r="F324">
        <v>2107</v>
      </c>
      <c r="G324">
        <v>550</v>
      </c>
      <c r="H324">
        <v>349</v>
      </c>
      <c r="I324">
        <v>35819</v>
      </c>
      <c r="J324">
        <v>35340</v>
      </c>
      <c r="K324">
        <v>191</v>
      </c>
      <c r="L324" t="s">
        <v>505</v>
      </c>
      <c r="M324" t="s">
        <v>506</v>
      </c>
    </row>
    <row r="325" spans="1:13" x14ac:dyDescent="0.3">
      <c r="A325" t="s">
        <v>307</v>
      </c>
      <c r="B325" t="s">
        <v>18</v>
      </c>
      <c r="C325" s="24">
        <v>45602</v>
      </c>
      <c r="D325" t="s">
        <v>14</v>
      </c>
      <c r="E325" t="s">
        <v>515</v>
      </c>
      <c r="F325">
        <v>4663</v>
      </c>
      <c r="G325">
        <v>145</v>
      </c>
      <c r="H325">
        <v>225</v>
      </c>
      <c r="I325">
        <v>69945</v>
      </c>
      <c r="J325">
        <v>69596</v>
      </c>
      <c r="K325">
        <v>35</v>
      </c>
      <c r="L325" t="s">
        <v>505</v>
      </c>
      <c r="M325" t="s">
        <v>506</v>
      </c>
    </row>
    <row r="326" spans="1:13" x14ac:dyDescent="0.3">
      <c r="A326" t="s">
        <v>200</v>
      </c>
      <c r="B326" t="s">
        <v>18</v>
      </c>
      <c r="C326" s="24">
        <v>45613</v>
      </c>
      <c r="D326" t="s">
        <v>45</v>
      </c>
      <c r="E326" t="s">
        <v>510</v>
      </c>
      <c r="F326">
        <v>880</v>
      </c>
      <c r="G326">
        <v>297</v>
      </c>
      <c r="H326">
        <v>345</v>
      </c>
      <c r="I326">
        <v>12320</v>
      </c>
      <c r="J326">
        <v>11978</v>
      </c>
      <c r="K326">
        <v>238</v>
      </c>
      <c r="L326" t="s">
        <v>498</v>
      </c>
    </row>
    <row r="327" spans="1:13" x14ac:dyDescent="0.3">
      <c r="A327" t="s">
        <v>200</v>
      </c>
      <c r="B327" t="s">
        <v>18</v>
      </c>
      <c r="C327" s="24">
        <v>45613</v>
      </c>
      <c r="D327" t="s">
        <v>45</v>
      </c>
      <c r="E327" t="s">
        <v>510</v>
      </c>
      <c r="F327">
        <v>880</v>
      </c>
      <c r="G327">
        <v>297</v>
      </c>
      <c r="H327">
        <v>345</v>
      </c>
      <c r="I327">
        <v>12320</v>
      </c>
      <c r="J327">
        <v>11978</v>
      </c>
      <c r="K327">
        <v>238</v>
      </c>
      <c r="L327" t="s">
        <v>496</v>
      </c>
    </row>
    <row r="328" spans="1:13" x14ac:dyDescent="0.3">
      <c r="A328" t="s">
        <v>235</v>
      </c>
      <c r="B328" t="s">
        <v>18</v>
      </c>
      <c r="C328" s="24">
        <v>45791</v>
      </c>
      <c r="D328" t="s">
        <v>45</v>
      </c>
      <c r="E328" t="s">
        <v>510</v>
      </c>
      <c r="F328">
        <v>2634</v>
      </c>
      <c r="G328">
        <v>726</v>
      </c>
      <c r="H328">
        <v>241</v>
      </c>
      <c r="I328">
        <v>28974</v>
      </c>
      <c r="J328">
        <v>28102</v>
      </c>
      <c r="K328">
        <v>277</v>
      </c>
      <c r="L328" t="s">
        <v>505</v>
      </c>
      <c r="M328" t="s">
        <v>495</v>
      </c>
    </row>
    <row r="329" spans="1:13" x14ac:dyDescent="0.3">
      <c r="A329" t="s">
        <v>180</v>
      </c>
      <c r="B329" t="s">
        <v>18</v>
      </c>
      <c r="C329" s="24">
        <v>45462</v>
      </c>
      <c r="D329" t="s">
        <v>20</v>
      </c>
      <c r="E329" t="s">
        <v>507</v>
      </c>
      <c r="F329">
        <v>4731</v>
      </c>
      <c r="G329">
        <v>173</v>
      </c>
      <c r="H329">
        <v>276</v>
      </c>
      <c r="I329">
        <v>28386</v>
      </c>
      <c r="J329">
        <v>28185</v>
      </c>
      <c r="K329">
        <v>89</v>
      </c>
      <c r="L329" t="s">
        <v>505</v>
      </c>
      <c r="M329" t="s">
        <v>503</v>
      </c>
    </row>
    <row r="330" spans="1:13" x14ac:dyDescent="0.3">
      <c r="A330" t="s">
        <v>311</v>
      </c>
      <c r="B330" t="s">
        <v>23</v>
      </c>
      <c r="C330" s="24">
        <v>45783</v>
      </c>
      <c r="D330" t="s">
        <v>24</v>
      </c>
      <c r="E330" t="s">
        <v>521</v>
      </c>
      <c r="F330">
        <v>1952</v>
      </c>
      <c r="G330">
        <v>344</v>
      </c>
      <c r="H330">
        <v>287</v>
      </c>
      <c r="I330">
        <v>15616</v>
      </c>
      <c r="J330">
        <v>15403</v>
      </c>
      <c r="K330">
        <v>235</v>
      </c>
      <c r="L330" t="s">
        <v>494</v>
      </c>
      <c r="M330" t="s">
        <v>499</v>
      </c>
    </row>
    <row r="331" spans="1:13" x14ac:dyDescent="0.3">
      <c r="A331" t="s">
        <v>311</v>
      </c>
      <c r="B331" t="s">
        <v>23</v>
      </c>
      <c r="C331" s="24">
        <v>45783</v>
      </c>
      <c r="D331" t="s">
        <v>24</v>
      </c>
      <c r="E331" t="s">
        <v>521</v>
      </c>
      <c r="F331">
        <v>1952</v>
      </c>
      <c r="G331">
        <v>344</v>
      </c>
      <c r="H331">
        <v>287</v>
      </c>
      <c r="I331">
        <v>15616</v>
      </c>
      <c r="J331">
        <v>15403</v>
      </c>
      <c r="K331">
        <v>235</v>
      </c>
      <c r="L331" t="s">
        <v>498</v>
      </c>
      <c r="M331" t="s">
        <v>499</v>
      </c>
    </row>
    <row r="332" spans="1:13" x14ac:dyDescent="0.3">
      <c r="A332" t="s">
        <v>311</v>
      </c>
      <c r="B332" t="s">
        <v>23</v>
      </c>
      <c r="C332" s="24">
        <v>45783</v>
      </c>
      <c r="D332" t="s">
        <v>24</v>
      </c>
      <c r="E332" t="s">
        <v>521</v>
      </c>
      <c r="F332">
        <v>1952</v>
      </c>
      <c r="G332">
        <v>344</v>
      </c>
      <c r="H332">
        <v>287</v>
      </c>
      <c r="I332">
        <v>15616</v>
      </c>
      <c r="J332">
        <v>15403</v>
      </c>
      <c r="K332">
        <v>235</v>
      </c>
      <c r="L332" t="s">
        <v>496</v>
      </c>
      <c r="M332" t="s">
        <v>499</v>
      </c>
    </row>
    <row r="333" spans="1:13" x14ac:dyDescent="0.3">
      <c r="A333" t="s">
        <v>266</v>
      </c>
      <c r="B333" t="s">
        <v>23</v>
      </c>
      <c r="C333" s="24">
        <v>45699</v>
      </c>
      <c r="D333" t="s">
        <v>14</v>
      </c>
      <c r="E333" t="s">
        <v>522</v>
      </c>
      <c r="F333">
        <v>3440</v>
      </c>
      <c r="G333">
        <v>13</v>
      </c>
      <c r="H333">
        <v>20</v>
      </c>
      <c r="I333">
        <v>58480</v>
      </c>
      <c r="J333">
        <v>58146</v>
      </c>
      <c r="K333">
        <v>210</v>
      </c>
      <c r="L333" t="s">
        <v>498</v>
      </c>
      <c r="M333" t="s">
        <v>506</v>
      </c>
    </row>
    <row r="334" spans="1:13" x14ac:dyDescent="0.3">
      <c r="A334" t="s">
        <v>266</v>
      </c>
      <c r="B334" t="s">
        <v>23</v>
      </c>
      <c r="C334" s="24">
        <v>45699</v>
      </c>
      <c r="D334" t="s">
        <v>14</v>
      </c>
      <c r="E334" t="s">
        <v>522</v>
      </c>
      <c r="F334">
        <v>3440</v>
      </c>
      <c r="G334">
        <v>13</v>
      </c>
      <c r="H334">
        <v>20</v>
      </c>
      <c r="I334">
        <v>58480</v>
      </c>
      <c r="J334">
        <v>58146</v>
      </c>
      <c r="K334">
        <v>210</v>
      </c>
      <c r="L334" t="s">
        <v>527</v>
      </c>
      <c r="M334" t="s">
        <v>506</v>
      </c>
    </row>
    <row r="335" spans="1:13" x14ac:dyDescent="0.3">
      <c r="A335" t="s">
        <v>115</v>
      </c>
      <c r="B335" t="s">
        <v>23</v>
      </c>
      <c r="C335" s="24">
        <v>45650</v>
      </c>
      <c r="D335" t="s">
        <v>45</v>
      </c>
      <c r="E335" t="s">
        <v>497</v>
      </c>
      <c r="F335">
        <v>2166</v>
      </c>
      <c r="G335">
        <v>354</v>
      </c>
      <c r="H335">
        <v>117</v>
      </c>
      <c r="I335">
        <v>10830</v>
      </c>
      <c r="J335">
        <v>10245</v>
      </c>
      <c r="K335">
        <v>24</v>
      </c>
      <c r="L335" t="s">
        <v>505</v>
      </c>
      <c r="M335" t="s">
        <v>506</v>
      </c>
    </row>
    <row r="336" spans="1:13" x14ac:dyDescent="0.3">
      <c r="A336" t="s">
        <v>116</v>
      </c>
      <c r="B336" t="s">
        <v>18</v>
      </c>
      <c r="C336" s="24">
        <v>45589</v>
      </c>
      <c r="D336" t="s">
        <v>24</v>
      </c>
      <c r="E336" t="s">
        <v>511</v>
      </c>
      <c r="F336">
        <v>4303</v>
      </c>
      <c r="G336">
        <v>451</v>
      </c>
      <c r="H336">
        <v>286</v>
      </c>
      <c r="I336">
        <v>86060</v>
      </c>
      <c r="J336">
        <v>85823</v>
      </c>
      <c r="K336">
        <v>14</v>
      </c>
      <c r="L336" t="s">
        <v>498</v>
      </c>
      <c r="M336" t="s">
        <v>503</v>
      </c>
    </row>
    <row r="337" spans="1:13" x14ac:dyDescent="0.3">
      <c r="A337" t="s">
        <v>96</v>
      </c>
      <c r="B337" t="s">
        <v>18</v>
      </c>
      <c r="C337" s="24">
        <v>45530</v>
      </c>
      <c r="D337" t="s">
        <v>24</v>
      </c>
      <c r="E337" t="s">
        <v>511</v>
      </c>
      <c r="F337">
        <v>2581</v>
      </c>
      <c r="G337">
        <v>517</v>
      </c>
      <c r="H337">
        <v>117</v>
      </c>
      <c r="I337">
        <v>23229</v>
      </c>
      <c r="J337">
        <v>22331</v>
      </c>
      <c r="K337">
        <v>70</v>
      </c>
      <c r="L337" t="s">
        <v>494</v>
      </c>
      <c r="M337" t="s">
        <v>503</v>
      </c>
    </row>
    <row r="338" spans="1:13" x14ac:dyDescent="0.3">
      <c r="A338" t="s">
        <v>26</v>
      </c>
      <c r="B338" t="s">
        <v>23</v>
      </c>
      <c r="C338" s="24">
        <v>45535</v>
      </c>
      <c r="D338" t="s">
        <v>20</v>
      </c>
      <c r="E338" t="s">
        <v>508</v>
      </c>
      <c r="F338">
        <v>4494</v>
      </c>
      <c r="G338">
        <v>717</v>
      </c>
      <c r="H338">
        <v>45</v>
      </c>
      <c r="I338">
        <v>62916</v>
      </c>
      <c r="J338">
        <v>62688</v>
      </c>
      <c r="K338">
        <v>191</v>
      </c>
      <c r="L338" t="s">
        <v>498</v>
      </c>
      <c r="M338" t="s">
        <v>495</v>
      </c>
    </row>
    <row r="339" spans="1:13" x14ac:dyDescent="0.3">
      <c r="A339" t="s">
        <v>26</v>
      </c>
      <c r="B339" t="s">
        <v>23</v>
      </c>
      <c r="C339" s="24">
        <v>45535</v>
      </c>
      <c r="D339" t="s">
        <v>20</v>
      </c>
      <c r="E339" t="s">
        <v>508</v>
      </c>
      <c r="F339">
        <v>4494</v>
      </c>
      <c r="G339">
        <v>717</v>
      </c>
      <c r="H339">
        <v>45</v>
      </c>
      <c r="I339">
        <v>62916</v>
      </c>
      <c r="J339">
        <v>62688</v>
      </c>
      <c r="K339">
        <v>191</v>
      </c>
      <c r="L339" t="s">
        <v>505</v>
      </c>
      <c r="M339" t="s">
        <v>495</v>
      </c>
    </row>
    <row r="340" spans="1:13" x14ac:dyDescent="0.3">
      <c r="A340" t="s">
        <v>26</v>
      </c>
      <c r="B340" t="s">
        <v>23</v>
      </c>
      <c r="C340" s="24">
        <v>45535</v>
      </c>
      <c r="D340" t="s">
        <v>20</v>
      </c>
      <c r="E340" t="s">
        <v>508</v>
      </c>
      <c r="F340">
        <v>4494</v>
      </c>
      <c r="G340">
        <v>717</v>
      </c>
      <c r="H340">
        <v>45</v>
      </c>
      <c r="I340">
        <v>62916</v>
      </c>
      <c r="J340">
        <v>62688</v>
      </c>
      <c r="K340">
        <v>191</v>
      </c>
      <c r="L340" t="s">
        <v>500</v>
      </c>
      <c r="M340" t="s">
        <v>495</v>
      </c>
    </row>
  </sheetData>
  <autoFilter ref="Q35:R42" xr:uid="{A253AC5E-8CC4-47CF-A9C0-05D1B37D07D8}">
    <filterColumn colId="0">
      <filters>
        <filter val="anytimeisteslatime"/>
        <filter val="betterwithtesla"/>
        <filter val="evrevolution"/>
        <filter val="futureofdriving"/>
        <filter val="smoothlikenitrotesla"/>
        <filter val="teslacoinnovation"/>
      </filters>
    </filterColumn>
  </autoFilter>
  <conditionalFormatting sqref="Q35">
    <cfRule type="top10" dxfId="4" priority="3" rank="3"/>
  </conditionalFormatting>
  <conditionalFormatting sqref="Q35:R42">
    <cfRule type="top10" dxfId="3" priority="4" rank="3"/>
  </conditionalFormatting>
  <conditionalFormatting sqref="R35:R42">
    <cfRule type="top10" dxfId="2" priority="1" rank="3"/>
    <cfRule type="top10" dxfId="1" priority="2" rank="3"/>
  </conditionalFormatting>
  <conditionalFormatting sqref="W39">
    <cfRule type="top10" dxfId="0" priority="5" rank="10"/>
  </conditionalFormatting>
  <pageMargins left="0.7" right="0.7" top="0.75" bottom="0.75" header="0.3" footer="0.3"/>
  <pageSetup orientation="portrait"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9B1530-05F0-43B4-920D-0FD0EC093126}">
  <dimension ref="A1:AI301"/>
  <sheetViews>
    <sheetView tabSelected="1" topLeftCell="U1" workbookViewId="0">
      <selection activeCell="Y21" sqref="Y21"/>
    </sheetView>
  </sheetViews>
  <sheetFormatPr defaultRowHeight="14.4" x14ac:dyDescent="0.3"/>
  <cols>
    <col min="1" max="1" width="9.109375" bestFit="1" customWidth="1"/>
    <col min="2" max="2" width="5" bestFit="1" customWidth="1"/>
    <col min="3" max="3" width="6.33203125" bestFit="1" customWidth="1"/>
    <col min="4" max="4" width="9.77734375" bestFit="1" customWidth="1"/>
    <col min="5" max="5" width="10.6640625" bestFit="1" customWidth="1"/>
    <col min="6" max="6" width="6" bestFit="1" customWidth="1"/>
    <col min="7" max="7" width="5.5546875" bestFit="1" customWidth="1"/>
    <col min="8" max="8" width="16.33203125" bestFit="1" customWidth="1"/>
    <col min="9" max="10" width="16.33203125" customWidth="1"/>
    <col min="11" max="11" width="10.5546875" bestFit="1" customWidth="1"/>
    <col min="12" max="12" width="18.5546875" bestFit="1" customWidth="1"/>
    <col min="15" max="15" width="15.5546875" bestFit="1" customWidth="1"/>
    <col min="16" max="16" width="9.109375" bestFit="1" customWidth="1"/>
    <col min="17" max="17" width="13.77734375" bestFit="1" customWidth="1"/>
    <col min="18" max="18" width="9.33203125" bestFit="1" customWidth="1"/>
    <col min="19" max="19" width="14.21875" bestFit="1" customWidth="1"/>
    <col min="20" max="20" width="15.88671875" bestFit="1" customWidth="1"/>
    <col min="21" max="21" width="9" bestFit="1" customWidth="1"/>
    <col min="22" max="22" width="11.44140625" bestFit="1" customWidth="1"/>
    <col min="24" max="24" width="10.5546875" bestFit="1" customWidth="1"/>
    <col min="25" max="25" width="19.44140625" bestFit="1" customWidth="1"/>
    <col min="26" max="27" width="26.33203125" bestFit="1" customWidth="1"/>
    <col min="28" max="29" width="26.33203125" customWidth="1"/>
    <col min="30" max="30" width="10.33203125" bestFit="1" customWidth="1"/>
    <col min="31" max="31" width="19" bestFit="1" customWidth="1"/>
    <col min="32" max="32" width="12" bestFit="1" customWidth="1"/>
  </cols>
  <sheetData>
    <row r="1" spans="1:35" x14ac:dyDescent="0.3">
      <c r="A1" s="2" t="s">
        <v>1</v>
      </c>
      <c r="B1" s="2" t="s">
        <v>5</v>
      </c>
      <c r="C1" s="2" t="s">
        <v>6</v>
      </c>
      <c r="D1" s="2" t="s">
        <v>7</v>
      </c>
      <c r="E1" s="2" t="s">
        <v>8</v>
      </c>
      <c r="F1" s="2" t="s">
        <v>9</v>
      </c>
      <c r="G1" s="2" t="s">
        <v>10</v>
      </c>
      <c r="H1" s="2" t="s">
        <v>450</v>
      </c>
      <c r="O1" s="12" t="s">
        <v>384</v>
      </c>
      <c r="P1" s="12" t="s">
        <v>1</v>
      </c>
      <c r="Q1" s="12" t="s">
        <v>385</v>
      </c>
      <c r="R1" s="12" t="s">
        <v>386</v>
      </c>
      <c r="S1" s="12" t="s">
        <v>387</v>
      </c>
      <c r="T1" s="12" t="s">
        <v>388</v>
      </c>
      <c r="U1" s="12" t="s">
        <v>389</v>
      </c>
      <c r="V1" s="12" t="s">
        <v>452</v>
      </c>
      <c r="W1" s="12"/>
    </row>
    <row r="2" spans="1:35" x14ac:dyDescent="0.3">
      <c r="A2" s="3" t="s">
        <v>23</v>
      </c>
      <c r="B2" s="3">
        <v>1644</v>
      </c>
      <c r="C2" s="3">
        <v>546</v>
      </c>
      <c r="D2" s="3">
        <v>150</v>
      </c>
      <c r="E2" s="3">
        <v>27948</v>
      </c>
      <c r="F2" s="3">
        <v>27184</v>
      </c>
      <c r="G2" s="3">
        <v>300</v>
      </c>
      <c r="H2" s="3">
        <f>SUM(B2:D2)</f>
        <v>2340</v>
      </c>
      <c r="O2" t="s">
        <v>351</v>
      </c>
      <c r="P2" t="s">
        <v>18</v>
      </c>
      <c r="Q2">
        <v>1312</v>
      </c>
      <c r="R2">
        <v>310</v>
      </c>
      <c r="S2">
        <v>42654</v>
      </c>
      <c r="T2">
        <v>4.9800000000000004</v>
      </c>
      <c r="U2">
        <v>9566</v>
      </c>
      <c r="V2">
        <f>Q2-R2/S2</f>
        <v>1311.9927322173771</v>
      </c>
    </row>
    <row r="3" spans="1:35" x14ac:dyDescent="0.3">
      <c r="A3" s="3" t="s">
        <v>23</v>
      </c>
      <c r="B3" s="3">
        <v>4750</v>
      </c>
      <c r="C3" s="3">
        <v>151</v>
      </c>
      <c r="D3" s="3">
        <v>415</v>
      </c>
      <c r="E3" s="3">
        <v>38000</v>
      </c>
      <c r="F3" s="3">
        <v>37792</v>
      </c>
      <c r="G3" s="3">
        <v>299</v>
      </c>
      <c r="H3" s="3">
        <f t="shared" ref="H3:H66" si="0">SUM(B3:D3)</f>
        <v>5316</v>
      </c>
      <c r="J3" s="4" t="s">
        <v>454</v>
      </c>
      <c r="K3" s="4" t="s">
        <v>451</v>
      </c>
      <c r="O3" t="s">
        <v>271</v>
      </c>
      <c r="P3" t="s">
        <v>18</v>
      </c>
      <c r="Q3">
        <v>1697</v>
      </c>
      <c r="R3">
        <v>414</v>
      </c>
      <c r="S3">
        <v>316555</v>
      </c>
      <c r="T3">
        <v>2.37</v>
      </c>
      <c r="U3">
        <v>7924</v>
      </c>
      <c r="V3">
        <f t="shared" ref="V3:V33" si="1">Q3-R3/S3</f>
        <v>1696.9986921703969</v>
      </c>
    </row>
    <row r="4" spans="1:35" x14ac:dyDescent="0.3">
      <c r="A4" s="3" t="s">
        <v>38</v>
      </c>
      <c r="B4" s="3">
        <v>4619</v>
      </c>
      <c r="C4" s="3">
        <v>821</v>
      </c>
      <c r="D4" s="3">
        <v>499</v>
      </c>
      <c r="E4" s="3">
        <v>69285</v>
      </c>
      <c r="F4" s="3">
        <v>69141</v>
      </c>
      <c r="G4" s="3">
        <v>298</v>
      </c>
      <c r="H4" s="3">
        <f t="shared" si="0"/>
        <v>5939</v>
      </c>
      <c r="J4" s="4"/>
      <c r="K4" s="4"/>
      <c r="O4" t="s">
        <v>206</v>
      </c>
      <c r="P4" t="s">
        <v>18</v>
      </c>
      <c r="Q4">
        <v>1753</v>
      </c>
      <c r="R4">
        <v>371</v>
      </c>
      <c r="S4">
        <v>169496</v>
      </c>
      <c r="T4">
        <v>8.11</v>
      </c>
      <c r="U4">
        <v>46670</v>
      </c>
      <c r="V4">
        <f t="shared" si="1"/>
        <v>1752.9978111577855</v>
      </c>
    </row>
    <row r="5" spans="1:35" x14ac:dyDescent="0.3">
      <c r="A5" s="3" t="s">
        <v>23</v>
      </c>
      <c r="B5" s="3">
        <v>1957</v>
      </c>
      <c r="C5" s="3">
        <v>877</v>
      </c>
      <c r="D5" s="3">
        <v>238</v>
      </c>
      <c r="E5" s="3">
        <v>17613</v>
      </c>
      <c r="F5" s="3">
        <v>16865</v>
      </c>
      <c r="G5" s="3">
        <v>297</v>
      </c>
      <c r="H5" s="3">
        <f t="shared" si="0"/>
        <v>3072</v>
      </c>
      <c r="K5" s="10" t="s">
        <v>1</v>
      </c>
      <c r="L5" s="2" t="s">
        <v>451</v>
      </c>
      <c r="M5" s="4" t="s">
        <v>485</v>
      </c>
      <c r="N5" s="4"/>
      <c r="O5" t="s">
        <v>122</v>
      </c>
      <c r="P5" t="s">
        <v>18</v>
      </c>
      <c r="Q5">
        <v>1779</v>
      </c>
      <c r="R5">
        <v>109</v>
      </c>
      <c r="S5">
        <v>26295</v>
      </c>
      <c r="T5">
        <v>9.1199999999999992</v>
      </c>
      <c r="U5">
        <v>30635</v>
      </c>
      <c r="V5">
        <f t="shared" si="1"/>
        <v>1778.9958547252329</v>
      </c>
      <c r="X5" s="4" t="s">
        <v>472</v>
      </c>
      <c r="Y5" s="4" t="s">
        <v>473</v>
      </c>
      <c r="AI5" s="29" t="s">
        <v>1895</v>
      </c>
    </row>
    <row r="6" spans="1:35" x14ac:dyDescent="0.3">
      <c r="A6" s="3" t="s">
        <v>38</v>
      </c>
      <c r="B6" s="3">
        <v>3861</v>
      </c>
      <c r="C6" s="3">
        <v>960</v>
      </c>
      <c r="D6" s="3">
        <v>101</v>
      </c>
      <c r="E6" s="3">
        <v>69498</v>
      </c>
      <c r="F6" s="3">
        <v>68817</v>
      </c>
      <c r="G6" s="3">
        <v>297</v>
      </c>
      <c r="H6" s="3">
        <f t="shared" si="0"/>
        <v>4922</v>
      </c>
      <c r="J6" s="4" t="s">
        <v>486</v>
      </c>
      <c r="K6" s="23" t="s">
        <v>18</v>
      </c>
      <c r="L6" s="22">
        <f>SUMIF($A$1:$A$301,$K6,$H$1:$H$301)</f>
        <v>305242</v>
      </c>
      <c r="M6" s="4">
        <f>_xlfn.MAXIFS($H$1:$H$301,$A$1:$A$301,$K6)</f>
        <v>5973</v>
      </c>
      <c r="O6" t="s">
        <v>376</v>
      </c>
      <c r="P6" t="s">
        <v>18</v>
      </c>
      <c r="Q6">
        <v>505</v>
      </c>
      <c r="R6">
        <v>441</v>
      </c>
      <c r="S6">
        <v>220020</v>
      </c>
      <c r="T6">
        <v>4.4800000000000004</v>
      </c>
      <c r="U6">
        <v>42307</v>
      </c>
      <c r="V6">
        <f t="shared" si="1"/>
        <v>504.99799563676032</v>
      </c>
    </row>
    <row r="7" spans="1:35" x14ac:dyDescent="0.3">
      <c r="A7" s="3" t="s">
        <v>13</v>
      </c>
      <c r="B7" s="3">
        <v>3641</v>
      </c>
      <c r="C7" s="3">
        <v>226</v>
      </c>
      <c r="D7" s="3">
        <v>46</v>
      </c>
      <c r="E7" s="3">
        <v>40051</v>
      </c>
      <c r="F7" s="3">
        <v>39319</v>
      </c>
      <c r="G7" s="3">
        <v>296</v>
      </c>
      <c r="H7" s="3">
        <f t="shared" si="0"/>
        <v>3913</v>
      </c>
      <c r="K7" s="11" t="s">
        <v>38</v>
      </c>
      <c r="L7" s="3">
        <f>SUMIF($A$1:$A$301,$K7,$H$1:$H$301)</f>
        <v>263579</v>
      </c>
      <c r="M7" s="4">
        <f>_xlfn.MAXIFS($H$1:$H$301,$A$1:$A$301,$K7)</f>
        <v>6030</v>
      </c>
      <c r="O7" t="s">
        <v>390</v>
      </c>
      <c r="P7" t="s">
        <v>18</v>
      </c>
      <c r="Q7">
        <v>350</v>
      </c>
      <c r="R7">
        <v>41</v>
      </c>
      <c r="S7">
        <v>251694</v>
      </c>
      <c r="T7">
        <v>1.91</v>
      </c>
      <c r="U7">
        <v>38610</v>
      </c>
      <c r="V7">
        <f t="shared" si="1"/>
        <v>349.99983710378473</v>
      </c>
      <c r="X7" s="5" t="s">
        <v>433</v>
      </c>
      <c r="Y7" t="s">
        <v>453</v>
      </c>
      <c r="Z7" t="s">
        <v>474</v>
      </c>
      <c r="AA7" t="s">
        <v>475</v>
      </c>
      <c r="AD7" s="2" t="s">
        <v>1</v>
      </c>
      <c r="AE7" s="2" t="s">
        <v>1894</v>
      </c>
    </row>
    <row r="8" spans="1:35" x14ac:dyDescent="0.3">
      <c r="A8" s="3" t="s">
        <v>23</v>
      </c>
      <c r="B8" s="3">
        <v>59</v>
      </c>
      <c r="C8" s="3">
        <v>163</v>
      </c>
      <c r="D8" s="3">
        <v>93</v>
      </c>
      <c r="E8" s="3">
        <v>590</v>
      </c>
      <c r="F8" s="3">
        <v>475</v>
      </c>
      <c r="G8" s="3">
        <v>293</v>
      </c>
      <c r="H8" s="3">
        <f t="shared" si="0"/>
        <v>315</v>
      </c>
      <c r="K8" s="11" t="s">
        <v>23</v>
      </c>
      <c r="L8" s="3">
        <f>SUMIF($A$1:$A$301,$K8,$H$1:$H$301)</f>
        <v>256005</v>
      </c>
      <c r="M8" s="19">
        <f>_xlfn.MAXIFS($H$1:$H$301,$A$1:$A$301,$K8)</f>
        <v>6278</v>
      </c>
      <c r="N8" s="4" t="s">
        <v>487</v>
      </c>
      <c r="O8" t="s">
        <v>222</v>
      </c>
      <c r="P8" t="s">
        <v>18</v>
      </c>
      <c r="Q8">
        <v>170</v>
      </c>
      <c r="R8">
        <v>334</v>
      </c>
      <c r="S8">
        <v>334626</v>
      </c>
      <c r="T8">
        <v>6.44</v>
      </c>
      <c r="U8">
        <v>43420</v>
      </c>
      <c r="V8">
        <f t="shared" si="1"/>
        <v>169.99900187074525</v>
      </c>
      <c r="X8" s="6" t="s">
        <v>18</v>
      </c>
      <c r="Y8">
        <v>1017.238355880377</v>
      </c>
      <c r="Z8">
        <v>27590.78</v>
      </c>
      <c r="AA8">
        <v>5.6486000000000001</v>
      </c>
      <c r="AD8" s="3" t="s">
        <v>18</v>
      </c>
      <c r="AE8" s="3">
        <f>AVERAGEIF($P$1:$P$201,$X8,V1:V201)</f>
        <v>1017.238355880377</v>
      </c>
    </row>
    <row r="9" spans="1:35" x14ac:dyDescent="0.3">
      <c r="A9" s="3" t="s">
        <v>18</v>
      </c>
      <c r="B9" s="3">
        <v>3796</v>
      </c>
      <c r="C9" s="3">
        <v>667</v>
      </c>
      <c r="D9" s="3">
        <v>395</v>
      </c>
      <c r="E9" s="3">
        <v>64532</v>
      </c>
      <c r="F9" s="3">
        <v>63550</v>
      </c>
      <c r="G9" s="3">
        <v>292</v>
      </c>
      <c r="H9" s="3">
        <f t="shared" si="0"/>
        <v>4858</v>
      </c>
      <c r="K9" s="11" t="s">
        <v>13</v>
      </c>
      <c r="L9" s="3">
        <f>SUMIF($A$1:$A$301,$K9,$H$1:$H$301)</f>
        <v>212941</v>
      </c>
      <c r="M9" s="4">
        <f>_xlfn.MAXIFS($H$1:$H$301,$A$1:$A$301,$K9)</f>
        <v>6130</v>
      </c>
      <c r="O9" t="s">
        <v>391</v>
      </c>
      <c r="P9" t="s">
        <v>18</v>
      </c>
      <c r="Q9">
        <v>1391</v>
      </c>
      <c r="R9">
        <v>430</v>
      </c>
      <c r="S9">
        <v>295032</v>
      </c>
      <c r="T9">
        <v>7.86</v>
      </c>
      <c r="U9">
        <v>26067</v>
      </c>
      <c r="V9">
        <f t="shared" si="1"/>
        <v>1390.9985425309796</v>
      </c>
      <c r="X9" s="6" t="s">
        <v>38</v>
      </c>
      <c r="Y9">
        <v>1166.218516213718</v>
      </c>
      <c r="Z9">
        <v>23287.46</v>
      </c>
      <c r="AA9">
        <v>5.7156000000000002</v>
      </c>
      <c r="AD9" s="3" t="s">
        <v>38</v>
      </c>
      <c r="AE9" s="3">
        <f>AVERAGEIF($P$1:$P$201,$X9,V2:V202)</f>
        <v>1155.1984983095563</v>
      </c>
    </row>
    <row r="10" spans="1:35" x14ac:dyDescent="0.3">
      <c r="A10" s="3" t="s">
        <v>13</v>
      </c>
      <c r="B10" s="3">
        <v>4295</v>
      </c>
      <c r="C10" s="3">
        <v>853</v>
      </c>
      <c r="D10" s="3">
        <v>325</v>
      </c>
      <c r="E10" s="3">
        <v>85900</v>
      </c>
      <c r="F10" s="3">
        <v>85788</v>
      </c>
      <c r="G10" s="3">
        <v>290</v>
      </c>
      <c r="H10" s="3">
        <f t="shared" si="0"/>
        <v>5473</v>
      </c>
      <c r="O10" t="s">
        <v>56</v>
      </c>
      <c r="P10" t="s">
        <v>18</v>
      </c>
      <c r="Q10">
        <v>160</v>
      </c>
      <c r="R10">
        <v>478</v>
      </c>
      <c r="S10">
        <v>435034</v>
      </c>
      <c r="T10">
        <v>7.73</v>
      </c>
      <c r="U10">
        <v>4839</v>
      </c>
      <c r="V10">
        <f t="shared" si="1"/>
        <v>159.99890123530574</v>
      </c>
      <c r="X10" s="6" t="s">
        <v>23</v>
      </c>
      <c r="Y10">
        <v>1069.6780651773988</v>
      </c>
      <c r="Z10">
        <v>21207.14</v>
      </c>
      <c r="AA10">
        <v>5.6558000000000002</v>
      </c>
      <c r="AD10" s="3" t="s">
        <v>23</v>
      </c>
      <c r="AE10" s="3">
        <f>AVERAGEIF($P$1:$P$201,$X10,V3:V203)</f>
        <v>1103.9180755440077</v>
      </c>
    </row>
    <row r="11" spans="1:35" x14ac:dyDescent="0.3">
      <c r="A11" s="3" t="s">
        <v>38</v>
      </c>
      <c r="B11" s="3">
        <v>1881</v>
      </c>
      <c r="C11" s="3">
        <v>501</v>
      </c>
      <c r="D11" s="3">
        <v>99</v>
      </c>
      <c r="E11" s="3">
        <v>20691</v>
      </c>
      <c r="F11" s="3">
        <v>19987</v>
      </c>
      <c r="G11" s="3">
        <v>289</v>
      </c>
      <c r="H11" s="3">
        <f t="shared" si="0"/>
        <v>2481</v>
      </c>
      <c r="O11" t="s">
        <v>325</v>
      </c>
      <c r="P11" t="s">
        <v>18</v>
      </c>
      <c r="Q11">
        <v>214</v>
      </c>
      <c r="R11">
        <v>411</v>
      </c>
      <c r="S11">
        <v>125034</v>
      </c>
      <c r="T11">
        <v>6.11</v>
      </c>
      <c r="U11">
        <v>26455</v>
      </c>
      <c r="V11">
        <f t="shared" si="1"/>
        <v>213.99671289409281</v>
      </c>
      <c r="X11" s="6" t="s">
        <v>13</v>
      </c>
      <c r="Y11">
        <v>949.41737790781804</v>
      </c>
      <c r="Z11">
        <v>24572.94</v>
      </c>
      <c r="AA11">
        <v>5.5587999999999997</v>
      </c>
      <c r="AD11" s="3" t="s">
        <v>13</v>
      </c>
      <c r="AE11" s="3">
        <f>AVERAGEIF($P$1:$P$201,$X11,V4:V204)</f>
        <v>943.31639751744797</v>
      </c>
    </row>
    <row r="12" spans="1:35" x14ac:dyDescent="0.3">
      <c r="A12" s="3" t="s">
        <v>18</v>
      </c>
      <c r="B12" s="3">
        <v>1871</v>
      </c>
      <c r="C12" s="3">
        <v>252</v>
      </c>
      <c r="D12" s="3">
        <v>335</v>
      </c>
      <c r="E12" s="3">
        <v>29936</v>
      </c>
      <c r="F12" s="3">
        <v>29576</v>
      </c>
      <c r="G12" s="3">
        <v>288</v>
      </c>
      <c r="H12" s="3">
        <f t="shared" si="0"/>
        <v>2458</v>
      </c>
      <c r="O12" t="s">
        <v>248</v>
      </c>
      <c r="P12" t="s">
        <v>18</v>
      </c>
      <c r="Q12">
        <v>1534</v>
      </c>
      <c r="R12">
        <v>200</v>
      </c>
      <c r="S12">
        <v>307612</v>
      </c>
      <c r="T12">
        <v>6.01</v>
      </c>
      <c r="U12">
        <v>37903</v>
      </c>
      <c r="V12">
        <f t="shared" si="1"/>
        <v>1533.9993498303056</v>
      </c>
      <c r="X12" s="6" t="s">
        <v>434</v>
      </c>
      <c r="Y12">
        <v>1050.6380787948283</v>
      </c>
      <c r="Z12">
        <v>24164.58</v>
      </c>
      <c r="AA12">
        <v>5.6446999999999994</v>
      </c>
    </row>
    <row r="13" spans="1:35" x14ac:dyDescent="0.3">
      <c r="A13" s="3" t="s">
        <v>13</v>
      </c>
      <c r="B13" s="3">
        <v>257</v>
      </c>
      <c r="C13" s="3">
        <v>966</v>
      </c>
      <c r="D13" s="3">
        <v>398</v>
      </c>
      <c r="E13" s="3">
        <v>3341</v>
      </c>
      <c r="F13" s="3">
        <v>2753</v>
      </c>
      <c r="G13" s="3">
        <v>287</v>
      </c>
      <c r="H13" s="3">
        <f t="shared" si="0"/>
        <v>1621</v>
      </c>
      <c r="O13" t="s">
        <v>178</v>
      </c>
      <c r="P13" t="s">
        <v>18</v>
      </c>
      <c r="Q13">
        <v>1078</v>
      </c>
      <c r="R13">
        <v>20</v>
      </c>
      <c r="S13">
        <v>183924</v>
      </c>
      <c r="T13">
        <v>8.84</v>
      </c>
      <c r="U13">
        <v>14203</v>
      </c>
      <c r="V13">
        <f t="shared" si="1"/>
        <v>1077.9998912594333</v>
      </c>
    </row>
    <row r="14" spans="1:35" x14ac:dyDescent="0.3">
      <c r="A14" s="3" t="s">
        <v>38</v>
      </c>
      <c r="B14" s="3">
        <v>3773</v>
      </c>
      <c r="C14" s="3">
        <v>299</v>
      </c>
      <c r="D14" s="3">
        <v>38</v>
      </c>
      <c r="E14" s="3">
        <v>71687</v>
      </c>
      <c r="F14" s="3">
        <v>71447</v>
      </c>
      <c r="G14" s="3">
        <v>286</v>
      </c>
      <c r="H14" s="3">
        <f t="shared" si="0"/>
        <v>4110</v>
      </c>
      <c r="O14" t="s">
        <v>97</v>
      </c>
      <c r="P14" t="s">
        <v>18</v>
      </c>
      <c r="Q14">
        <v>248</v>
      </c>
      <c r="R14">
        <v>211</v>
      </c>
      <c r="S14">
        <v>379380</v>
      </c>
      <c r="T14">
        <v>9.0399999999999991</v>
      </c>
      <c r="U14">
        <v>26925</v>
      </c>
      <c r="V14">
        <f t="shared" si="1"/>
        <v>247.99944382940586</v>
      </c>
    </row>
    <row r="15" spans="1:35" x14ac:dyDescent="0.3">
      <c r="A15" s="3" t="s">
        <v>38</v>
      </c>
      <c r="B15" s="3">
        <v>1816</v>
      </c>
      <c r="C15" s="3">
        <v>29</v>
      </c>
      <c r="D15" s="3">
        <v>41</v>
      </c>
      <c r="E15" s="3">
        <v>19976</v>
      </c>
      <c r="F15" s="3">
        <v>19262</v>
      </c>
      <c r="G15" s="3">
        <v>283</v>
      </c>
      <c r="H15" s="3">
        <f t="shared" si="0"/>
        <v>1886</v>
      </c>
      <c r="O15" t="s">
        <v>363</v>
      </c>
      <c r="P15" t="s">
        <v>18</v>
      </c>
      <c r="Q15">
        <v>1520</v>
      </c>
      <c r="R15">
        <v>475</v>
      </c>
      <c r="S15">
        <v>496982</v>
      </c>
      <c r="T15">
        <v>6.41</v>
      </c>
      <c r="U15">
        <v>24384</v>
      </c>
      <c r="V15">
        <f t="shared" si="1"/>
        <v>1519.9990442309781</v>
      </c>
    </row>
    <row r="16" spans="1:35" x14ac:dyDescent="0.3">
      <c r="A16" s="3" t="s">
        <v>38</v>
      </c>
      <c r="B16" s="3">
        <v>521</v>
      </c>
      <c r="C16" s="3">
        <v>746</v>
      </c>
      <c r="D16" s="3">
        <v>315</v>
      </c>
      <c r="E16" s="3">
        <v>4168</v>
      </c>
      <c r="F16" s="3">
        <v>3399</v>
      </c>
      <c r="G16" s="3">
        <v>282</v>
      </c>
      <c r="H16" s="3">
        <f t="shared" si="0"/>
        <v>1582</v>
      </c>
      <c r="O16" t="s">
        <v>285</v>
      </c>
      <c r="P16" t="s">
        <v>18</v>
      </c>
      <c r="Q16">
        <v>1842</v>
      </c>
      <c r="R16">
        <v>414</v>
      </c>
      <c r="S16">
        <v>307524</v>
      </c>
      <c r="T16">
        <v>1.76</v>
      </c>
      <c r="U16">
        <v>40478</v>
      </c>
      <c r="V16">
        <f t="shared" si="1"/>
        <v>1841.9986537636087</v>
      </c>
      <c r="X16" s="4" t="s">
        <v>477</v>
      </c>
    </row>
    <row r="17" spans="1:27" x14ac:dyDescent="0.3">
      <c r="A17" s="3" t="s">
        <v>38</v>
      </c>
      <c r="B17" s="3">
        <v>438</v>
      </c>
      <c r="C17" s="3">
        <v>153</v>
      </c>
      <c r="D17" s="3">
        <v>275</v>
      </c>
      <c r="E17" s="3">
        <v>3066</v>
      </c>
      <c r="F17" s="3">
        <v>2701</v>
      </c>
      <c r="G17" s="3">
        <v>282</v>
      </c>
      <c r="H17" s="3">
        <f t="shared" si="0"/>
        <v>866</v>
      </c>
      <c r="O17" t="s">
        <v>392</v>
      </c>
      <c r="P17" t="s">
        <v>18</v>
      </c>
      <c r="Q17">
        <v>443</v>
      </c>
      <c r="R17">
        <v>345</v>
      </c>
      <c r="S17">
        <v>474162</v>
      </c>
      <c r="T17">
        <v>9.1999999999999993</v>
      </c>
      <c r="U17">
        <v>47462</v>
      </c>
      <c r="V17">
        <f t="shared" si="1"/>
        <v>442.99927240057195</v>
      </c>
      <c r="X17" s="4"/>
    </row>
    <row r="18" spans="1:27" x14ac:dyDescent="0.3">
      <c r="A18" s="3" t="s">
        <v>38</v>
      </c>
      <c r="B18" s="3">
        <v>914</v>
      </c>
      <c r="C18" s="3">
        <v>464</v>
      </c>
      <c r="D18" s="3">
        <v>246</v>
      </c>
      <c r="E18" s="3">
        <v>11882</v>
      </c>
      <c r="F18" s="3">
        <v>11500</v>
      </c>
      <c r="G18" s="3">
        <v>282</v>
      </c>
      <c r="H18" s="3">
        <f t="shared" si="0"/>
        <v>1624</v>
      </c>
      <c r="O18" t="s">
        <v>393</v>
      </c>
      <c r="P18" t="s">
        <v>18</v>
      </c>
      <c r="Q18">
        <v>198</v>
      </c>
      <c r="R18">
        <v>217</v>
      </c>
      <c r="S18">
        <v>239753</v>
      </c>
      <c r="T18">
        <v>7.36</v>
      </c>
      <c r="U18">
        <v>11901</v>
      </c>
      <c r="V18">
        <f t="shared" si="1"/>
        <v>197.99909490183649</v>
      </c>
      <c r="X18" s="20" t="s">
        <v>476</v>
      </c>
      <c r="Y18" s="20" t="s">
        <v>475</v>
      </c>
      <c r="Z18" s="20" t="s">
        <v>474</v>
      </c>
    </row>
    <row r="19" spans="1:27" x14ac:dyDescent="0.3">
      <c r="A19" s="3" t="s">
        <v>23</v>
      </c>
      <c r="B19" s="3">
        <v>4516</v>
      </c>
      <c r="C19" s="3">
        <v>836</v>
      </c>
      <c r="D19" s="3">
        <v>169</v>
      </c>
      <c r="E19" s="3">
        <v>49676</v>
      </c>
      <c r="F19" s="3">
        <v>49257</v>
      </c>
      <c r="G19" s="3">
        <v>282</v>
      </c>
      <c r="H19" s="3">
        <f t="shared" si="0"/>
        <v>5521</v>
      </c>
      <c r="O19" t="s">
        <v>394</v>
      </c>
      <c r="P19" t="s">
        <v>18</v>
      </c>
      <c r="Q19">
        <v>250</v>
      </c>
      <c r="R19">
        <v>429</v>
      </c>
      <c r="S19">
        <v>453423</v>
      </c>
      <c r="T19">
        <v>1.77</v>
      </c>
      <c r="U19">
        <v>2315</v>
      </c>
      <c r="V19">
        <f t="shared" si="1"/>
        <v>249.99905386361081</v>
      </c>
      <c r="X19" s="3" t="s">
        <v>18</v>
      </c>
      <c r="Y19" s="3">
        <v>5.6486000000000001</v>
      </c>
      <c r="Z19" s="3">
        <v>27590.78</v>
      </c>
      <c r="AA19">
        <f ca="1">AVERAGEIF($P:$P,$X19,$T$1:$T$201)</f>
        <v>5.6486000000000001</v>
      </c>
    </row>
    <row r="20" spans="1:27" x14ac:dyDescent="0.3">
      <c r="A20" s="3" t="s">
        <v>13</v>
      </c>
      <c r="B20" s="3">
        <v>4905</v>
      </c>
      <c r="C20" s="3">
        <v>845</v>
      </c>
      <c r="D20" s="3">
        <v>129</v>
      </c>
      <c r="E20" s="3">
        <v>98100</v>
      </c>
      <c r="F20" s="3">
        <v>97772</v>
      </c>
      <c r="G20" s="3">
        <v>279</v>
      </c>
      <c r="H20" s="3">
        <f t="shared" si="0"/>
        <v>5879</v>
      </c>
      <c r="O20" t="s">
        <v>395</v>
      </c>
      <c r="P20" t="s">
        <v>18</v>
      </c>
      <c r="Q20">
        <v>1929</v>
      </c>
      <c r="R20">
        <v>267</v>
      </c>
      <c r="S20">
        <v>379363</v>
      </c>
      <c r="T20">
        <v>1.75</v>
      </c>
      <c r="U20">
        <v>43836</v>
      </c>
      <c r="V20">
        <f t="shared" si="1"/>
        <v>1928.999296188611</v>
      </c>
      <c r="X20" s="3" t="s">
        <v>38</v>
      </c>
      <c r="Y20" s="3">
        <v>5.7156000000000002</v>
      </c>
      <c r="Z20" s="3">
        <v>23287.46</v>
      </c>
      <c r="AA20">
        <f ca="1">AVERAGEIF($P:$P,$X20,$T$1:$T$201)</f>
        <v>5.7156000000000002</v>
      </c>
    </row>
    <row r="21" spans="1:27" x14ac:dyDescent="0.3">
      <c r="A21" s="3" t="s">
        <v>18</v>
      </c>
      <c r="B21" s="3">
        <v>3008</v>
      </c>
      <c r="C21" s="3">
        <v>94</v>
      </c>
      <c r="D21" s="3">
        <v>37</v>
      </c>
      <c r="E21" s="3">
        <v>15040</v>
      </c>
      <c r="F21" s="3">
        <v>14639</v>
      </c>
      <c r="G21" s="3">
        <v>277</v>
      </c>
      <c r="H21" s="3">
        <f t="shared" si="0"/>
        <v>3139</v>
      </c>
      <c r="O21" t="s">
        <v>396</v>
      </c>
      <c r="P21" t="s">
        <v>18</v>
      </c>
      <c r="Q21">
        <v>643</v>
      </c>
      <c r="R21">
        <v>358</v>
      </c>
      <c r="S21">
        <v>157599</v>
      </c>
      <c r="T21">
        <v>3.88</v>
      </c>
      <c r="U21">
        <v>7285</v>
      </c>
      <c r="V21">
        <f t="shared" si="1"/>
        <v>642.99772841198228</v>
      </c>
      <c r="X21" s="3" t="s">
        <v>23</v>
      </c>
      <c r="Y21" s="3">
        <v>5.6558000000000002</v>
      </c>
      <c r="Z21" s="3">
        <v>21207.14</v>
      </c>
      <c r="AA21">
        <f ca="1">AVERAGEIF($P:$P,$X21,$T$1:$T$201)</f>
        <v>5.6558000000000002</v>
      </c>
    </row>
    <row r="22" spans="1:27" x14ac:dyDescent="0.3">
      <c r="A22" s="3" t="s">
        <v>18</v>
      </c>
      <c r="B22" s="3">
        <v>2634</v>
      </c>
      <c r="C22" s="3">
        <v>726</v>
      </c>
      <c r="D22" s="3">
        <v>241</v>
      </c>
      <c r="E22" s="3">
        <v>28974</v>
      </c>
      <c r="F22" s="3">
        <v>28102</v>
      </c>
      <c r="G22" s="3">
        <v>277</v>
      </c>
      <c r="H22" s="3">
        <f t="shared" si="0"/>
        <v>3601</v>
      </c>
      <c r="O22" t="s">
        <v>159</v>
      </c>
      <c r="P22" t="s">
        <v>18</v>
      </c>
      <c r="Q22">
        <v>508</v>
      </c>
      <c r="R22">
        <v>69</v>
      </c>
      <c r="S22">
        <v>23492</v>
      </c>
      <c r="T22">
        <v>3.16</v>
      </c>
      <c r="U22">
        <v>42824</v>
      </c>
      <c r="V22">
        <f t="shared" si="1"/>
        <v>507.99706282989956</v>
      </c>
      <c r="X22" s="3" t="s">
        <v>13</v>
      </c>
      <c r="Y22" s="3">
        <v>5.5587999999999997</v>
      </c>
      <c r="Z22" s="3">
        <v>24572.94</v>
      </c>
      <c r="AA22">
        <f ca="1">AVERAGEIF($P:$P,$X22,$T$1:$T$201)</f>
        <v>5.5587999999999997</v>
      </c>
    </row>
    <row r="23" spans="1:27" x14ac:dyDescent="0.3">
      <c r="A23" s="3" t="s">
        <v>13</v>
      </c>
      <c r="B23" s="3">
        <v>2509</v>
      </c>
      <c r="C23" s="3">
        <v>324</v>
      </c>
      <c r="D23" s="3">
        <v>171</v>
      </c>
      <c r="E23" s="3">
        <v>35126</v>
      </c>
      <c r="F23" s="3">
        <v>34685</v>
      </c>
      <c r="G23" s="3">
        <v>277</v>
      </c>
      <c r="H23" s="3">
        <f t="shared" si="0"/>
        <v>3004</v>
      </c>
      <c r="O23" t="s">
        <v>72</v>
      </c>
      <c r="P23" t="s">
        <v>18</v>
      </c>
      <c r="Q23">
        <v>859</v>
      </c>
      <c r="R23">
        <v>473</v>
      </c>
      <c r="S23">
        <v>209987</v>
      </c>
      <c r="T23">
        <v>4.46</v>
      </c>
      <c r="U23">
        <v>30214</v>
      </c>
      <c r="V23">
        <f t="shared" si="1"/>
        <v>858.99774747960589</v>
      </c>
      <c r="X23" s="3" t="s">
        <v>434</v>
      </c>
      <c r="Y23" s="3">
        <v>5.6446999999999994</v>
      </c>
      <c r="Z23" s="3">
        <v>24164.58</v>
      </c>
    </row>
    <row r="24" spans="1:27" x14ac:dyDescent="0.3">
      <c r="A24" s="3" t="s">
        <v>23</v>
      </c>
      <c r="B24" s="3">
        <v>2278</v>
      </c>
      <c r="C24" s="3">
        <v>10</v>
      </c>
      <c r="D24" s="3">
        <v>321</v>
      </c>
      <c r="E24" s="3">
        <v>13668</v>
      </c>
      <c r="F24" s="3">
        <v>12676</v>
      </c>
      <c r="G24" s="3">
        <v>275</v>
      </c>
      <c r="H24" s="3">
        <f t="shared" si="0"/>
        <v>2609</v>
      </c>
      <c r="O24" t="s">
        <v>333</v>
      </c>
      <c r="P24" t="s">
        <v>18</v>
      </c>
      <c r="Q24">
        <v>947</v>
      </c>
      <c r="R24">
        <v>407</v>
      </c>
      <c r="S24">
        <v>319186</v>
      </c>
      <c r="T24">
        <v>3.32</v>
      </c>
      <c r="U24">
        <v>4996</v>
      </c>
      <c r="V24">
        <f t="shared" si="1"/>
        <v>946.99872488141716</v>
      </c>
    </row>
    <row r="25" spans="1:27" x14ac:dyDescent="0.3">
      <c r="A25" s="3" t="s">
        <v>18</v>
      </c>
      <c r="B25" s="3">
        <v>1869</v>
      </c>
      <c r="C25" s="3">
        <v>453</v>
      </c>
      <c r="D25" s="3">
        <v>490</v>
      </c>
      <c r="E25" s="3">
        <v>14952</v>
      </c>
      <c r="F25" s="3">
        <v>14309</v>
      </c>
      <c r="G25" s="3">
        <v>275</v>
      </c>
      <c r="H25" s="3">
        <f t="shared" si="0"/>
        <v>2812</v>
      </c>
      <c r="O25" t="s">
        <v>397</v>
      </c>
      <c r="P25" t="s">
        <v>18</v>
      </c>
      <c r="Q25">
        <v>171</v>
      </c>
      <c r="R25">
        <v>277</v>
      </c>
      <c r="S25">
        <v>309483</v>
      </c>
      <c r="T25">
        <v>8.6999999999999993</v>
      </c>
      <c r="U25">
        <v>38452</v>
      </c>
      <c r="V25">
        <f t="shared" si="1"/>
        <v>170.99910495891535</v>
      </c>
    </row>
    <row r="26" spans="1:27" x14ac:dyDescent="0.3">
      <c r="A26" s="3" t="s">
        <v>38</v>
      </c>
      <c r="B26" s="3">
        <v>1176</v>
      </c>
      <c r="C26" s="3">
        <v>464</v>
      </c>
      <c r="D26" s="3">
        <v>394</v>
      </c>
      <c r="E26" s="3">
        <v>14112</v>
      </c>
      <c r="F26" s="3">
        <v>13588</v>
      </c>
      <c r="G26" s="3">
        <v>272</v>
      </c>
      <c r="H26" s="3">
        <f t="shared" si="0"/>
        <v>2034</v>
      </c>
      <c r="O26" t="s">
        <v>188</v>
      </c>
      <c r="P26" t="s">
        <v>18</v>
      </c>
      <c r="Q26">
        <v>513</v>
      </c>
      <c r="R26">
        <v>441</v>
      </c>
      <c r="S26">
        <v>338847</v>
      </c>
      <c r="T26">
        <v>2.68</v>
      </c>
      <c r="U26">
        <v>39997</v>
      </c>
      <c r="V26">
        <f t="shared" si="1"/>
        <v>512.99869852765403</v>
      </c>
    </row>
    <row r="27" spans="1:27" x14ac:dyDescent="0.3">
      <c r="A27" s="3" t="s">
        <v>18</v>
      </c>
      <c r="B27" s="3">
        <v>4213</v>
      </c>
      <c r="C27" s="3">
        <v>253</v>
      </c>
      <c r="D27" s="3">
        <v>434</v>
      </c>
      <c r="E27" s="3">
        <v>75834</v>
      </c>
      <c r="F27" s="3">
        <v>75437</v>
      </c>
      <c r="G27" s="3">
        <v>272</v>
      </c>
      <c r="H27" s="3">
        <f t="shared" si="0"/>
        <v>4900</v>
      </c>
      <c r="O27" t="s">
        <v>105</v>
      </c>
      <c r="P27" t="s">
        <v>18</v>
      </c>
      <c r="Q27">
        <v>1710</v>
      </c>
      <c r="R27">
        <v>378</v>
      </c>
      <c r="S27">
        <v>336661</v>
      </c>
      <c r="T27">
        <v>6.2</v>
      </c>
      <c r="U27">
        <v>28498</v>
      </c>
      <c r="V27">
        <f t="shared" si="1"/>
        <v>1709.9988772088243</v>
      </c>
    </row>
    <row r="28" spans="1:27" x14ac:dyDescent="0.3">
      <c r="A28" s="3" t="s">
        <v>38</v>
      </c>
      <c r="B28" s="3">
        <v>3775</v>
      </c>
      <c r="C28" s="3">
        <v>16</v>
      </c>
      <c r="D28" s="3">
        <v>239</v>
      </c>
      <c r="E28" s="3">
        <v>33975</v>
      </c>
      <c r="F28" s="3">
        <v>33310</v>
      </c>
      <c r="G28" s="3">
        <v>271</v>
      </c>
      <c r="H28" s="3">
        <f t="shared" si="0"/>
        <v>4030</v>
      </c>
      <c r="O28" t="s">
        <v>398</v>
      </c>
      <c r="P28" t="s">
        <v>18</v>
      </c>
      <c r="Q28">
        <v>1902</v>
      </c>
      <c r="R28">
        <v>196</v>
      </c>
      <c r="S28">
        <v>470269</v>
      </c>
      <c r="T28">
        <v>4.79</v>
      </c>
      <c r="U28">
        <v>26103</v>
      </c>
      <c r="V28">
        <f t="shared" si="1"/>
        <v>1901.9995832172649</v>
      </c>
    </row>
    <row r="29" spans="1:27" x14ac:dyDescent="0.3">
      <c r="A29" s="3" t="s">
        <v>23</v>
      </c>
      <c r="B29" s="3">
        <v>1188</v>
      </c>
      <c r="C29" s="3">
        <v>470</v>
      </c>
      <c r="D29" s="3">
        <v>174</v>
      </c>
      <c r="E29" s="3">
        <v>7128</v>
      </c>
      <c r="F29" s="3">
        <v>6145</v>
      </c>
      <c r="G29" s="3">
        <v>270</v>
      </c>
      <c r="H29" s="3">
        <f t="shared" si="0"/>
        <v>1832</v>
      </c>
      <c r="O29" t="s">
        <v>281</v>
      </c>
      <c r="P29" t="s">
        <v>18</v>
      </c>
      <c r="Q29">
        <v>1514</v>
      </c>
      <c r="R29">
        <v>141</v>
      </c>
      <c r="S29">
        <v>35842</v>
      </c>
      <c r="T29">
        <v>7.47</v>
      </c>
      <c r="U29">
        <v>18601</v>
      </c>
      <c r="V29">
        <f t="shared" si="1"/>
        <v>1513.9960660677418</v>
      </c>
    </row>
    <row r="30" spans="1:27" x14ac:dyDescent="0.3">
      <c r="A30" s="3" t="s">
        <v>38</v>
      </c>
      <c r="B30" s="3">
        <v>3523</v>
      </c>
      <c r="C30" s="3">
        <v>753</v>
      </c>
      <c r="D30" s="3">
        <v>482</v>
      </c>
      <c r="E30" s="3">
        <v>38753</v>
      </c>
      <c r="F30" s="3">
        <v>38579</v>
      </c>
      <c r="G30" s="3">
        <v>270</v>
      </c>
      <c r="H30" s="3">
        <f t="shared" si="0"/>
        <v>4758</v>
      </c>
      <c r="O30" t="s">
        <v>213</v>
      </c>
      <c r="P30" t="s">
        <v>18</v>
      </c>
      <c r="Q30">
        <v>1623</v>
      </c>
      <c r="R30">
        <v>246</v>
      </c>
      <c r="S30">
        <v>415815</v>
      </c>
      <c r="T30">
        <v>8.11</v>
      </c>
      <c r="U30">
        <v>18656</v>
      </c>
      <c r="V30">
        <f t="shared" si="1"/>
        <v>1622.9994083907507</v>
      </c>
    </row>
    <row r="31" spans="1:27" x14ac:dyDescent="0.3">
      <c r="A31" s="3" t="s">
        <v>38</v>
      </c>
      <c r="B31" s="3">
        <v>4579</v>
      </c>
      <c r="C31" s="3">
        <v>125</v>
      </c>
      <c r="D31" s="3">
        <v>300</v>
      </c>
      <c r="E31" s="3">
        <v>59527</v>
      </c>
      <c r="F31" s="3">
        <v>59400</v>
      </c>
      <c r="G31" s="3">
        <v>269</v>
      </c>
      <c r="H31" s="3">
        <f t="shared" si="0"/>
        <v>5004</v>
      </c>
      <c r="O31" t="s">
        <v>135</v>
      </c>
      <c r="P31" t="s">
        <v>18</v>
      </c>
      <c r="Q31">
        <v>1155</v>
      </c>
      <c r="R31">
        <v>425</v>
      </c>
      <c r="S31">
        <v>93347</v>
      </c>
      <c r="T31">
        <v>2.02</v>
      </c>
      <c r="U31">
        <v>47502</v>
      </c>
      <c r="V31">
        <f t="shared" si="1"/>
        <v>1154.9954470952468</v>
      </c>
    </row>
    <row r="32" spans="1:27" x14ac:dyDescent="0.3">
      <c r="A32" s="3" t="s">
        <v>38</v>
      </c>
      <c r="B32" s="3">
        <v>3068</v>
      </c>
      <c r="C32" s="3">
        <v>137</v>
      </c>
      <c r="D32" s="3">
        <v>329</v>
      </c>
      <c r="E32" s="3">
        <v>39884</v>
      </c>
      <c r="F32" s="3">
        <v>39404</v>
      </c>
      <c r="G32" s="3">
        <v>266</v>
      </c>
      <c r="H32" s="3">
        <f t="shared" si="0"/>
        <v>3534</v>
      </c>
      <c r="O32" t="s">
        <v>399</v>
      </c>
      <c r="P32" t="s">
        <v>18</v>
      </c>
      <c r="Q32">
        <v>1980</v>
      </c>
      <c r="R32">
        <v>204</v>
      </c>
      <c r="S32">
        <v>379431</v>
      </c>
      <c r="T32">
        <v>3.09</v>
      </c>
      <c r="U32">
        <v>25140</v>
      </c>
      <c r="V32">
        <f t="shared" si="1"/>
        <v>1979.9994623528389</v>
      </c>
    </row>
    <row r="33" spans="1:22" x14ac:dyDescent="0.3">
      <c r="A33" s="3" t="s">
        <v>18</v>
      </c>
      <c r="B33" s="3">
        <v>3798</v>
      </c>
      <c r="C33" s="3">
        <v>31</v>
      </c>
      <c r="D33" s="3">
        <v>279</v>
      </c>
      <c r="E33" s="3">
        <v>75960</v>
      </c>
      <c r="F33" s="3">
        <v>75813</v>
      </c>
      <c r="G33" s="3">
        <v>266</v>
      </c>
      <c r="H33" s="3">
        <f t="shared" si="0"/>
        <v>4108</v>
      </c>
      <c r="O33" t="s">
        <v>319</v>
      </c>
      <c r="P33" t="s">
        <v>18</v>
      </c>
      <c r="Q33">
        <v>816</v>
      </c>
      <c r="R33">
        <v>196</v>
      </c>
      <c r="S33">
        <v>95728</v>
      </c>
      <c r="T33">
        <v>8.1999999999999993</v>
      </c>
      <c r="U33">
        <v>17951</v>
      </c>
      <c r="V33">
        <f t="shared" si="1"/>
        <v>815.99795253217451</v>
      </c>
    </row>
    <row r="34" spans="1:22" x14ac:dyDescent="0.3">
      <c r="A34" s="3" t="s">
        <v>18</v>
      </c>
      <c r="B34" s="3">
        <v>4242</v>
      </c>
      <c r="C34" s="3">
        <v>555</v>
      </c>
      <c r="D34" s="3">
        <v>131</v>
      </c>
      <c r="E34" s="3">
        <v>33936</v>
      </c>
      <c r="F34" s="3">
        <v>33802</v>
      </c>
      <c r="G34" s="3">
        <v>265</v>
      </c>
      <c r="H34" s="3">
        <f t="shared" si="0"/>
        <v>4928</v>
      </c>
      <c r="O34" t="s">
        <v>400</v>
      </c>
      <c r="P34" t="s">
        <v>18</v>
      </c>
      <c r="Q34">
        <v>651</v>
      </c>
      <c r="R34">
        <v>353</v>
      </c>
      <c r="S34">
        <v>224699</v>
      </c>
      <c r="T34">
        <v>5.61</v>
      </c>
      <c r="U34">
        <v>45708</v>
      </c>
      <c r="V34">
        <f t="shared" ref="V34:V65" si="2">Q34-R34/S34</f>
        <v>650.99842900947488</v>
      </c>
    </row>
    <row r="35" spans="1:22" x14ac:dyDescent="0.3">
      <c r="A35" s="3" t="s">
        <v>18</v>
      </c>
      <c r="B35" s="3">
        <v>4292</v>
      </c>
      <c r="C35" s="3">
        <v>51</v>
      </c>
      <c r="D35" s="3">
        <v>392</v>
      </c>
      <c r="E35" s="3">
        <v>55796</v>
      </c>
      <c r="F35" s="3">
        <v>54826</v>
      </c>
      <c r="G35" s="3">
        <v>264</v>
      </c>
      <c r="H35" s="3">
        <f t="shared" si="0"/>
        <v>4735</v>
      </c>
      <c r="O35" t="s">
        <v>401</v>
      </c>
      <c r="P35" t="s">
        <v>18</v>
      </c>
      <c r="Q35">
        <v>663</v>
      </c>
      <c r="R35">
        <v>236</v>
      </c>
      <c r="S35">
        <v>479490</v>
      </c>
      <c r="T35">
        <v>4.51</v>
      </c>
      <c r="U35">
        <v>23853</v>
      </c>
      <c r="V35">
        <f t="shared" si="2"/>
        <v>662.99950781038183</v>
      </c>
    </row>
    <row r="36" spans="1:22" x14ac:dyDescent="0.3">
      <c r="A36" s="3" t="s">
        <v>38</v>
      </c>
      <c r="B36" s="3">
        <v>3432</v>
      </c>
      <c r="C36" s="3">
        <v>869</v>
      </c>
      <c r="D36" s="3">
        <v>123</v>
      </c>
      <c r="E36" s="3">
        <v>54912</v>
      </c>
      <c r="F36" s="3">
        <v>53916</v>
      </c>
      <c r="G36" s="3">
        <v>264</v>
      </c>
      <c r="H36" s="3">
        <f t="shared" si="0"/>
        <v>4424</v>
      </c>
      <c r="O36" t="s">
        <v>93</v>
      </c>
      <c r="P36" t="s">
        <v>18</v>
      </c>
      <c r="Q36">
        <v>1249</v>
      </c>
      <c r="R36">
        <v>351</v>
      </c>
      <c r="S36">
        <v>321307</v>
      </c>
      <c r="T36">
        <v>6.37</v>
      </c>
      <c r="U36">
        <v>20560</v>
      </c>
      <c r="V36">
        <f t="shared" si="2"/>
        <v>1248.998907586825</v>
      </c>
    </row>
    <row r="37" spans="1:22" x14ac:dyDescent="0.3">
      <c r="A37" s="3" t="s">
        <v>38</v>
      </c>
      <c r="B37" s="3">
        <v>103</v>
      </c>
      <c r="C37" s="3">
        <v>770</v>
      </c>
      <c r="D37" s="3">
        <v>19</v>
      </c>
      <c r="E37" s="3">
        <v>1030</v>
      </c>
      <c r="F37" s="3">
        <v>410</v>
      </c>
      <c r="G37" s="3">
        <v>262</v>
      </c>
      <c r="H37" s="3">
        <f t="shared" si="0"/>
        <v>892</v>
      </c>
      <c r="O37" t="s">
        <v>402</v>
      </c>
      <c r="P37" t="s">
        <v>18</v>
      </c>
      <c r="Q37">
        <v>1159</v>
      </c>
      <c r="R37">
        <v>411</v>
      </c>
      <c r="S37">
        <v>135987</v>
      </c>
      <c r="T37">
        <v>8.6999999999999993</v>
      </c>
      <c r="U37">
        <v>40323</v>
      </c>
      <c r="V37">
        <f t="shared" si="2"/>
        <v>1158.9969776522755</v>
      </c>
    </row>
    <row r="38" spans="1:22" x14ac:dyDescent="0.3">
      <c r="A38" s="3" t="s">
        <v>13</v>
      </c>
      <c r="B38" s="3">
        <v>4780</v>
      </c>
      <c r="C38" s="3">
        <v>691</v>
      </c>
      <c r="D38" s="3">
        <v>380</v>
      </c>
      <c r="E38" s="3">
        <v>86040</v>
      </c>
      <c r="F38" s="3">
        <v>85743</v>
      </c>
      <c r="G38" s="3">
        <v>262</v>
      </c>
      <c r="H38" s="3">
        <f t="shared" si="0"/>
        <v>5851</v>
      </c>
      <c r="O38" t="s">
        <v>275</v>
      </c>
      <c r="P38" t="s">
        <v>18</v>
      </c>
      <c r="Q38">
        <v>1294</v>
      </c>
      <c r="R38">
        <v>382</v>
      </c>
      <c r="S38">
        <v>309914</v>
      </c>
      <c r="T38">
        <v>8.0299999999999994</v>
      </c>
      <c r="U38">
        <v>23489</v>
      </c>
      <c r="V38">
        <f t="shared" si="2"/>
        <v>1293.9987673999883</v>
      </c>
    </row>
    <row r="39" spans="1:22" x14ac:dyDescent="0.3">
      <c r="A39" s="3" t="s">
        <v>18</v>
      </c>
      <c r="B39" s="3">
        <v>2945</v>
      </c>
      <c r="C39" s="3">
        <v>930</v>
      </c>
      <c r="D39" s="3">
        <v>355</v>
      </c>
      <c r="E39" s="3">
        <v>23560</v>
      </c>
      <c r="F39" s="3">
        <v>23275</v>
      </c>
      <c r="G39" s="3">
        <v>256</v>
      </c>
      <c r="H39" s="3">
        <f t="shared" si="0"/>
        <v>4230</v>
      </c>
      <c r="O39" t="s">
        <v>210</v>
      </c>
      <c r="P39" t="s">
        <v>18</v>
      </c>
      <c r="Q39">
        <v>1895</v>
      </c>
      <c r="R39">
        <v>305</v>
      </c>
      <c r="S39">
        <v>104967</v>
      </c>
      <c r="T39">
        <v>3.85</v>
      </c>
      <c r="U39">
        <v>31853</v>
      </c>
      <c r="V39">
        <f t="shared" si="2"/>
        <v>1894.9970943248832</v>
      </c>
    </row>
    <row r="40" spans="1:22" x14ac:dyDescent="0.3">
      <c r="A40" s="3" t="s">
        <v>38</v>
      </c>
      <c r="B40" s="3">
        <v>1674</v>
      </c>
      <c r="C40" s="3">
        <v>929</v>
      </c>
      <c r="D40" s="3">
        <v>37</v>
      </c>
      <c r="E40" s="3">
        <v>21762</v>
      </c>
      <c r="F40" s="3">
        <v>20998</v>
      </c>
      <c r="G40" s="3">
        <v>255</v>
      </c>
      <c r="H40" s="3">
        <f t="shared" si="0"/>
        <v>2640</v>
      </c>
      <c r="O40" t="s">
        <v>131</v>
      </c>
      <c r="P40" t="s">
        <v>18</v>
      </c>
      <c r="Q40">
        <v>1884</v>
      </c>
      <c r="R40">
        <v>177</v>
      </c>
      <c r="S40">
        <v>230448</v>
      </c>
      <c r="T40">
        <v>7.8</v>
      </c>
      <c r="U40">
        <v>22713</v>
      </c>
      <c r="V40">
        <f t="shared" si="2"/>
        <v>1883.9992319308478</v>
      </c>
    </row>
    <row r="41" spans="1:22" x14ac:dyDescent="0.3">
      <c r="A41" s="3" t="s">
        <v>18</v>
      </c>
      <c r="B41" s="3">
        <v>1841</v>
      </c>
      <c r="C41" s="3">
        <v>851</v>
      </c>
      <c r="D41" s="3">
        <v>342</v>
      </c>
      <c r="E41" s="3">
        <v>34979</v>
      </c>
      <c r="F41" s="3">
        <v>34154</v>
      </c>
      <c r="G41" s="3">
        <v>255</v>
      </c>
      <c r="H41" s="3">
        <f t="shared" si="0"/>
        <v>3034</v>
      </c>
      <c r="O41" t="s">
        <v>355</v>
      </c>
      <c r="P41" t="s">
        <v>18</v>
      </c>
      <c r="Q41">
        <v>345</v>
      </c>
      <c r="R41">
        <v>464</v>
      </c>
      <c r="S41">
        <v>366881</v>
      </c>
      <c r="T41">
        <v>4.55</v>
      </c>
      <c r="U41">
        <v>20553</v>
      </c>
      <c r="V41">
        <f t="shared" si="2"/>
        <v>344.99873528473807</v>
      </c>
    </row>
    <row r="42" spans="1:22" x14ac:dyDescent="0.3">
      <c r="A42" s="3" t="s">
        <v>23</v>
      </c>
      <c r="B42" s="3">
        <v>827</v>
      </c>
      <c r="C42" s="3">
        <v>77</v>
      </c>
      <c r="D42" s="3">
        <v>402</v>
      </c>
      <c r="E42" s="3">
        <v>14886</v>
      </c>
      <c r="F42" s="3">
        <v>14129</v>
      </c>
      <c r="G42" s="3">
        <v>254</v>
      </c>
      <c r="H42" s="3">
        <f t="shared" si="0"/>
        <v>1306</v>
      </c>
      <c r="O42" t="s">
        <v>403</v>
      </c>
      <c r="P42" t="s">
        <v>18</v>
      </c>
      <c r="Q42">
        <v>1098</v>
      </c>
      <c r="R42">
        <v>190</v>
      </c>
      <c r="S42">
        <v>340842</v>
      </c>
      <c r="T42">
        <v>9.39</v>
      </c>
      <c r="U42">
        <v>21539</v>
      </c>
      <c r="V42">
        <f t="shared" si="2"/>
        <v>1097.9994425569619</v>
      </c>
    </row>
    <row r="43" spans="1:22" x14ac:dyDescent="0.3">
      <c r="A43" s="3" t="s">
        <v>23</v>
      </c>
      <c r="B43" s="3">
        <v>3338</v>
      </c>
      <c r="C43" s="3">
        <v>277</v>
      </c>
      <c r="D43" s="3">
        <v>118</v>
      </c>
      <c r="E43" s="3">
        <v>60084</v>
      </c>
      <c r="F43" s="3">
        <v>59842</v>
      </c>
      <c r="G43" s="3">
        <v>252</v>
      </c>
      <c r="H43" s="3">
        <f t="shared" si="0"/>
        <v>3733</v>
      </c>
      <c r="O43" t="s">
        <v>404</v>
      </c>
      <c r="P43" t="s">
        <v>18</v>
      </c>
      <c r="Q43">
        <v>1358</v>
      </c>
      <c r="R43">
        <v>242</v>
      </c>
      <c r="S43">
        <v>342129</v>
      </c>
      <c r="T43">
        <v>4.9400000000000004</v>
      </c>
      <c r="U43">
        <v>29116</v>
      </c>
      <c r="V43">
        <f t="shared" si="2"/>
        <v>1357.9992926644629</v>
      </c>
    </row>
    <row r="44" spans="1:22" x14ac:dyDescent="0.3">
      <c r="A44" s="3" t="s">
        <v>23</v>
      </c>
      <c r="B44" s="3">
        <v>3215</v>
      </c>
      <c r="C44" s="3">
        <v>960</v>
      </c>
      <c r="D44" s="3">
        <v>202</v>
      </c>
      <c r="E44" s="3">
        <v>32150</v>
      </c>
      <c r="F44" s="3">
        <v>31404</v>
      </c>
      <c r="G44" s="3">
        <v>251</v>
      </c>
      <c r="H44" s="3">
        <f t="shared" si="0"/>
        <v>4377</v>
      </c>
      <c r="O44" t="s">
        <v>128</v>
      </c>
      <c r="P44" t="s">
        <v>18</v>
      </c>
      <c r="Q44">
        <v>609</v>
      </c>
      <c r="R44">
        <v>135</v>
      </c>
      <c r="S44">
        <v>373606</v>
      </c>
      <c r="T44">
        <v>8.52</v>
      </c>
      <c r="U44">
        <v>21453</v>
      </c>
      <c r="V44">
        <f t="shared" si="2"/>
        <v>608.99963865676671</v>
      </c>
    </row>
    <row r="45" spans="1:22" x14ac:dyDescent="0.3">
      <c r="A45" s="3" t="s">
        <v>38</v>
      </c>
      <c r="B45" s="3">
        <v>1430</v>
      </c>
      <c r="C45" s="3">
        <v>376</v>
      </c>
      <c r="D45" s="3">
        <v>33</v>
      </c>
      <c r="E45" s="3">
        <v>21450</v>
      </c>
      <c r="F45" s="3">
        <v>20509</v>
      </c>
      <c r="G45" s="3">
        <v>251</v>
      </c>
      <c r="H45" s="3">
        <f t="shared" si="0"/>
        <v>1839</v>
      </c>
      <c r="O45" t="s">
        <v>405</v>
      </c>
      <c r="P45" t="s">
        <v>18</v>
      </c>
      <c r="Q45">
        <v>988</v>
      </c>
      <c r="R45">
        <v>474</v>
      </c>
      <c r="S45">
        <v>370070</v>
      </c>
      <c r="T45">
        <v>9.4600000000000009</v>
      </c>
      <c r="U45">
        <v>23461</v>
      </c>
      <c r="V45">
        <f t="shared" si="2"/>
        <v>987.99871916123982</v>
      </c>
    </row>
    <row r="46" spans="1:22" x14ac:dyDescent="0.3">
      <c r="A46" s="3" t="s">
        <v>18</v>
      </c>
      <c r="B46" s="3">
        <v>3813</v>
      </c>
      <c r="C46" s="3">
        <v>935</v>
      </c>
      <c r="D46" s="3">
        <v>274</v>
      </c>
      <c r="E46" s="3">
        <v>68634</v>
      </c>
      <c r="F46" s="3">
        <v>68488</v>
      </c>
      <c r="G46" s="3">
        <v>251</v>
      </c>
      <c r="H46" s="3">
        <f t="shared" si="0"/>
        <v>5022</v>
      </c>
      <c r="O46" t="s">
        <v>304</v>
      </c>
      <c r="P46" t="s">
        <v>18</v>
      </c>
      <c r="Q46">
        <v>1307</v>
      </c>
      <c r="R46">
        <v>278</v>
      </c>
      <c r="S46">
        <v>98596</v>
      </c>
      <c r="T46">
        <v>2.4900000000000002</v>
      </c>
      <c r="U46">
        <v>47603</v>
      </c>
      <c r="V46">
        <f t="shared" si="2"/>
        <v>1306.9971804129984</v>
      </c>
    </row>
    <row r="47" spans="1:22" x14ac:dyDescent="0.3">
      <c r="A47" s="3" t="s">
        <v>18</v>
      </c>
      <c r="B47" s="3">
        <v>2382</v>
      </c>
      <c r="C47" s="3">
        <v>265</v>
      </c>
      <c r="D47" s="3">
        <v>134</v>
      </c>
      <c r="E47" s="3">
        <v>38112</v>
      </c>
      <c r="F47" s="3">
        <v>37437</v>
      </c>
      <c r="G47" s="3">
        <v>249</v>
      </c>
      <c r="H47" s="3">
        <f t="shared" si="0"/>
        <v>2781</v>
      </c>
      <c r="O47" t="s">
        <v>406</v>
      </c>
      <c r="P47" t="s">
        <v>18</v>
      </c>
      <c r="Q47">
        <v>198</v>
      </c>
      <c r="R47">
        <v>373</v>
      </c>
      <c r="S47">
        <v>70707</v>
      </c>
      <c r="T47">
        <v>4.83</v>
      </c>
      <c r="U47">
        <v>25920</v>
      </c>
      <c r="V47">
        <f t="shared" si="2"/>
        <v>197.99472470901043</v>
      </c>
    </row>
    <row r="48" spans="1:22" x14ac:dyDescent="0.3">
      <c r="A48" s="3" t="s">
        <v>18</v>
      </c>
      <c r="B48" s="3">
        <v>2696</v>
      </c>
      <c r="C48" s="3">
        <v>628</v>
      </c>
      <c r="D48" s="3">
        <v>443</v>
      </c>
      <c r="E48" s="3">
        <v>45832</v>
      </c>
      <c r="F48" s="3">
        <v>45632</v>
      </c>
      <c r="G48" s="3">
        <v>248</v>
      </c>
      <c r="H48" s="3">
        <f t="shared" si="0"/>
        <v>3767</v>
      </c>
      <c r="O48" t="s">
        <v>407</v>
      </c>
      <c r="P48" t="s">
        <v>18</v>
      </c>
      <c r="Q48">
        <v>1375</v>
      </c>
      <c r="R48">
        <v>330</v>
      </c>
      <c r="S48">
        <v>377382</v>
      </c>
      <c r="T48">
        <v>2.6</v>
      </c>
      <c r="U48">
        <v>7875</v>
      </c>
      <c r="V48">
        <f t="shared" si="2"/>
        <v>1374.999125554478</v>
      </c>
    </row>
    <row r="49" spans="1:22" x14ac:dyDescent="0.3">
      <c r="A49" s="3" t="s">
        <v>13</v>
      </c>
      <c r="B49" s="3">
        <v>2143</v>
      </c>
      <c r="C49" s="3">
        <v>12</v>
      </c>
      <c r="D49" s="3">
        <v>204</v>
      </c>
      <c r="E49" s="3">
        <v>40717</v>
      </c>
      <c r="F49" s="3">
        <v>40125</v>
      </c>
      <c r="G49" s="3">
        <v>248</v>
      </c>
      <c r="H49" s="3">
        <f t="shared" si="0"/>
        <v>2359</v>
      </c>
      <c r="O49" t="s">
        <v>76</v>
      </c>
      <c r="P49" t="s">
        <v>18</v>
      </c>
      <c r="Q49">
        <v>833</v>
      </c>
      <c r="R49">
        <v>380</v>
      </c>
      <c r="S49">
        <v>224830</v>
      </c>
      <c r="T49">
        <v>3.86</v>
      </c>
      <c r="U49">
        <v>3582</v>
      </c>
      <c r="V49">
        <f t="shared" si="2"/>
        <v>832.99830983409686</v>
      </c>
    </row>
    <row r="50" spans="1:22" x14ac:dyDescent="0.3">
      <c r="A50" s="3" t="s">
        <v>18</v>
      </c>
      <c r="B50" s="3">
        <v>3073</v>
      </c>
      <c r="C50" s="3">
        <v>553</v>
      </c>
      <c r="D50" s="3">
        <v>174</v>
      </c>
      <c r="E50" s="3">
        <v>52241</v>
      </c>
      <c r="F50" s="3">
        <v>51605</v>
      </c>
      <c r="G50" s="3">
        <v>246</v>
      </c>
      <c r="H50" s="3">
        <f t="shared" si="0"/>
        <v>3800</v>
      </c>
      <c r="O50" t="s">
        <v>329</v>
      </c>
      <c r="P50" t="s">
        <v>18</v>
      </c>
      <c r="Q50">
        <v>405</v>
      </c>
      <c r="R50">
        <v>66</v>
      </c>
      <c r="S50">
        <v>418696</v>
      </c>
      <c r="T50">
        <v>5.59</v>
      </c>
      <c r="U50">
        <v>48419</v>
      </c>
      <c r="V50">
        <f t="shared" si="2"/>
        <v>404.99984236773219</v>
      </c>
    </row>
    <row r="51" spans="1:22" x14ac:dyDescent="0.3">
      <c r="A51" s="3" t="s">
        <v>23</v>
      </c>
      <c r="B51" s="3">
        <v>4671</v>
      </c>
      <c r="C51" s="3">
        <v>876</v>
      </c>
      <c r="D51" s="3">
        <v>366</v>
      </c>
      <c r="E51" s="3">
        <v>51381</v>
      </c>
      <c r="F51" s="3">
        <v>50565</v>
      </c>
      <c r="G51" s="3">
        <v>245</v>
      </c>
      <c r="H51" s="3">
        <f t="shared" si="0"/>
        <v>5913</v>
      </c>
      <c r="O51" t="s">
        <v>252</v>
      </c>
      <c r="P51" t="s">
        <v>18</v>
      </c>
      <c r="Q51">
        <v>837</v>
      </c>
      <c r="R51">
        <v>430</v>
      </c>
      <c r="S51">
        <v>364820</v>
      </c>
      <c r="T51">
        <v>4</v>
      </c>
      <c r="U51">
        <v>49400</v>
      </c>
      <c r="V51">
        <f t="shared" si="2"/>
        <v>836.99882133654955</v>
      </c>
    </row>
    <row r="52" spans="1:22" x14ac:dyDescent="0.3">
      <c r="A52" s="3" t="s">
        <v>13</v>
      </c>
      <c r="B52" s="3">
        <v>3428</v>
      </c>
      <c r="C52" s="3">
        <v>305</v>
      </c>
      <c r="D52" s="3">
        <v>85</v>
      </c>
      <c r="E52" s="3">
        <v>58276</v>
      </c>
      <c r="F52" s="3">
        <v>58052</v>
      </c>
      <c r="G52" s="3">
        <v>242</v>
      </c>
      <c r="H52" s="3">
        <f t="shared" si="0"/>
        <v>3818</v>
      </c>
      <c r="O52" s="9" t="s">
        <v>351</v>
      </c>
      <c r="P52" t="s">
        <v>38</v>
      </c>
      <c r="Q52">
        <v>1135</v>
      </c>
      <c r="R52">
        <v>88</v>
      </c>
      <c r="S52">
        <v>344084</v>
      </c>
      <c r="T52">
        <v>8.06</v>
      </c>
      <c r="U52">
        <v>5904</v>
      </c>
      <c r="V52">
        <f t="shared" si="2"/>
        <v>1134.9997442484976</v>
      </c>
    </row>
    <row r="53" spans="1:22" x14ac:dyDescent="0.3">
      <c r="A53" s="3" t="s">
        <v>23</v>
      </c>
      <c r="B53" s="3">
        <v>2493</v>
      </c>
      <c r="C53" s="3">
        <v>97</v>
      </c>
      <c r="D53" s="3">
        <v>44</v>
      </c>
      <c r="E53" s="3">
        <v>42381</v>
      </c>
      <c r="F53" s="3">
        <v>41991</v>
      </c>
      <c r="G53" s="3">
        <v>242</v>
      </c>
      <c r="H53" s="3">
        <f t="shared" si="0"/>
        <v>2634</v>
      </c>
      <c r="O53" t="s">
        <v>271</v>
      </c>
      <c r="P53" t="s">
        <v>38</v>
      </c>
      <c r="Q53">
        <v>656</v>
      </c>
      <c r="R53">
        <v>139</v>
      </c>
      <c r="S53">
        <v>49157</v>
      </c>
      <c r="T53">
        <v>9.0500000000000007</v>
      </c>
      <c r="U53">
        <v>9920</v>
      </c>
      <c r="V53">
        <f t="shared" si="2"/>
        <v>655.99717232540638</v>
      </c>
    </row>
    <row r="54" spans="1:22" x14ac:dyDescent="0.3">
      <c r="A54" s="3" t="s">
        <v>13</v>
      </c>
      <c r="B54" s="3">
        <v>1543</v>
      </c>
      <c r="C54" s="3">
        <v>820</v>
      </c>
      <c r="D54" s="3">
        <v>333</v>
      </c>
      <c r="E54" s="3">
        <v>12344</v>
      </c>
      <c r="F54" s="3">
        <v>11496</v>
      </c>
      <c r="G54" s="3">
        <v>241</v>
      </c>
      <c r="H54" s="3">
        <f t="shared" si="0"/>
        <v>2696</v>
      </c>
      <c r="O54" t="s">
        <v>206</v>
      </c>
      <c r="P54" t="s">
        <v>38</v>
      </c>
      <c r="Q54">
        <v>1048</v>
      </c>
      <c r="R54">
        <v>155</v>
      </c>
      <c r="S54">
        <v>456946</v>
      </c>
      <c r="T54">
        <v>2.46</v>
      </c>
      <c r="U54">
        <v>11329</v>
      </c>
      <c r="V54">
        <f t="shared" si="2"/>
        <v>1047.9996607914284</v>
      </c>
    </row>
    <row r="55" spans="1:22" x14ac:dyDescent="0.3">
      <c r="A55" s="3" t="s">
        <v>18</v>
      </c>
      <c r="B55" s="3">
        <v>3196</v>
      </c>
      <c r="C55" s="3">
        <v>941</v>
      </c>
      <c r="D55" s="3">
        <v>376</v>
      </c>
      <c r="E55" s="3">
        <v>35156</v>
      </c>
      <c r="F55" s="3">
        <v>34444</v>
      </c>
      <c r="G55" s="3">
        <v>241</v>
      </c>
      <c r="H55" s="3">
        <f t="shared" si="0"/>
        <v>4513</v>
      </c>
      <c r="O55" t="s">
        <v>122</v>
      </c>
      <c r="P55" t="s">
        <v>38</v>
      </c>
      <c r="Q55">
        <v>911</v>
      </c>
      <c r="R55">
        <v>282</v>
      </c>
      <c r="S55">
        <v>35664</v>
      </c>
      <c r="T55">
        <v>6.92</v>
      </c>
      <c r="U55">
        <v>18050</v>
      </c>
      <c r="V55">
        <f t="shared" si="2"/>
        <v>910.99209286675637</v>
      </c>
    </row>
    <row r="56" spans="1:22" x14ac:dyDescent="0.3">
      <c r="A56" s="3" t="s">
        <v>13</v>
      </c>
      <c r="B56" s="3">
        <v>3774</v>
      </c>
      <c r="C56" s="3">
        <v>239</v>
      </c>
      <c r="D56" s="3">
        <v>39</v>
      </c>
      <c r="E56" s="3">
        <v>60384</v>
      </c>
      <c r="F56" s="3">
        <v>59490</v>
      </c>
      <c r="G56" s="3">
        <v>241</v>
      </c>
      <c r="H56" s="3">
        <f t="shared" si="0"/>
        <v>4052</v>
      </c>
      <c r="O56" t="s">
        <v>376</v>
      </c>
      <c r="P56" t="s">
        <v>38</v>
      </c>
      <c r="Q56">
        <v>226</v>
      </c>
      <c r="R56">
        <v>445</v>
      </c>
      <c r="S56">
        <v>419447</v>
      </c>
      <c r="T56">
        <v>9.36</v>
      </c>
      <c r="U56">
        <v>9566</v>
      </c>
      <c r="V56">
        <f t="shared" si="2"/>
        <v>225.99893907931158</v>
      </c>
    </row>
    <row r="57" spans="1:22" x14ac:dyDescent="0.3">
      <c r="A57" s="3" t="s">
        <v>23</v>
      </c>
      <c r="B57" s="3">
        <v>3170</v>
      </c>
      <c r="C57" s="3">
        <v>857</v>
      </c>
      <c r="D57" s="3">
        <v>379</v>
      </c>
      <c r="E57" s="3">
        <v>19020</v>
      </c>
      <c r="F57" s="3">
        <v>18559</v>
      </c>
      <c r="G57" s="3">
        <v>240</v>
      </c>
      <c r="H57" s="3">
        <f t="shared" si="0"/>
        <v>4406</v>
      </c>
      <c r="O57" t="s">
        <v>390</v>
      </c>
      <c r="P57" t="s">
        <v>38</v>
      </c>
      <c r="Q57">
        <v>1757</v>
      </c>
      <c r="R57">
        <v>85</v>
      </c>
      <c r="S57">
        <v>58223</v>
      </c>
      <c r="T57">
        <v>8.74</v>
      </c>
      <c r="U57">
        <v>22728</v>
      </c>
      <c r="V57">
        <f t="shared" si="2"/>
        <v>1756.9985400958385</v>
      </c>
    </row>
    <row r="58" spans="1:22" x14ac:dyDescent="0.3">
      <c r="A58" s="3" t="s">
        <v>18</v>
      </c>
      <c r="B58" s="3">
        <v>3352</v>
      </c>
      <c r="C58" s="3">
        <v>941</v>
      </c>
      <c r="D58" s="3">
        <v>482</v>
      </c>
      <c r="E58" s="3">
        <v>43576</v>
      </c>
      <c r="F58" s="3">
        <v>43338</v>
      </c>
      <c r="G58" s="3">
        <v>240</v>
      </c>
      <c r="H58" s="3">
        <f t="shared" si="0"/>
        <v>4775</v>
      </c>
      <c r="O58" t="s">
        <v>222</v>
      </c>
      <c r="P58" t="s">
        <v>38</v>
      </c>
      <c r="Q58">
        <v>1960</v>
      </c>
      <c r="R58">
        <v>115</v>
      </c>
      <c r="S58">
        <v>154169</v>
      </c>
      <c r="T58">
        <v>3.74</v>
      </c>
      <c r="U58">
        <v>10740</v>
      </c>
      <c r="V58">
        <f t="shared" si="2"/>
        <v>1959.9992540653438</v>
      </c>
    </row>
    <row r="59" spans="1:22" x14ac:dyDescent="0.3">
      <c r="A59" s="3" t="s">
        <v>13</v>
      </c>
      <c r="B59" s="3">
        <v>606</v>
      </c>
      <c r="C59" s="3">
        <v>789</v>
      </c>
      <c r="D59" s="3">
        <v>470</v>
      </c>
      <c r="E59" s="3">
        <v>7878</v>
      </c>
      <c r="F59" s="3">
        <v>7389</v>
      </c>
      <c r="G59" s="3">
        <v>239</v>
      </c>
      <c r="H59" s="3">
        <f t="shared" si="0"/>
        <v>1865</v>
      </c>
      <c r="O59" t="s">
        <v>391</v>
      </c>
      <c r="P59" t="s">
        <v>38</v>
      </c>
      <c r="Q59">
        <v>508</v>
      </c>
      <c r="R59">
        <v>349</v>
      </c>
      <c r="S59">
        <v>473812</v>
      </c>
      <c r="T59">
        <v>7.88</v>
      </c>
      <c r="U59">
        <v>17328</v>
      </c>
      <c r="V59">
        <f t="shared" si="2"/>
        <v>507.99926342093488</v>
      </c>
    </row>
    <row r="60" spans="1:22" x14ac:dyDescent="0.3">
      <c r="A60" s="3" t="s">
        <v>38</v>
      </c>
      <c r="B60" s="3">
        <v>129</v>
      </c>
      <c r="C60" s="3">
        <v>643</v>
      </c>
      <c r="D60" s="3">
        <v>136</v>
      </c>
      <c r="E60" s="3">
        <v>1290</v>
      </c>
      <c r="F60" s="3">
        <v>839</v>
      </c>
      <c r="G60" s="3">
        <v>238</v>
      </c>
      <c r="H60" s="3">
        <f t="shared" si="0"/>
        <v>908</v>
      </c>
      <c r="O60" t="s">
        <v>56</v>
      </c>
      <c r="P60" t="s">
        <v>38</v>
      </c>
      <c r="Q60">
        <v>653</v>
      </c>
      <c r="R60">
        <v>112</v>
      </c>
      <c r="S60">
        <v>23664</v>
      </c>
      <c r="T60">
        <v>4.05</v>
      </c>
      <c r="U60">
        <v>15353</v>
      </c>
      <c r="V60">
        <f t="shared" si="2"/>
        <v>652.99526707234622</v>
      </c>
    </row>
    <row r="61" spans="1:22" x14ac:dyDescent="0.3">
      <c r="A61" s="3" t="s">
        <v>18</v>
      </c>
      <c r="B61" s="3">
        <v>4236</v>
      </c>
      <c r="C61" s="3">
        <v>711</v>
      </c>
      <c r="D61" s="3">
        <v>298</v>
      </c>
      <c r="E61" s="3">
        <v>21180</v>
      </c>
      <c r="F61" s="3">
        <v>20516</v>
      </c>
      <c r="G61" s="3">
        <v>238</v>
      </c>
      <c r="H61" s="3">
        <f t="shared" si="0"/>
        <v>5245</v>
      </c>
      <c r="O61" t="s">
        <v>325</v>
      </c>
      <c r="P61" t="s">
        <v>38</v>
      </c>
      <c r="Q61">
        <v>645</v>
      </c>
      <c r="R61">
        <v>293</v>
      </c>
      <c r="S61">
        <v>437968</v>
      </c>
      <c r="T61">
        <v>7.83</v>
      </c>
      <c r="U61">
        <v>49303</v>
      </c>
      <c r="V61">
        <f t="shared" si="2"/>
        <v>644.99933100135172</v>
      </c>
    </row>
    <row r="62" spans="1:22" x14ac:dyDescent="0.3">
      <c r="A62" s="3" t="s">
        <v>18</v>
      </c>
      <c r="B62" s="3">
        <v>880</v>
      </c>
      <c r="C62" s="3">
        <v>297</v>
      </c>
      <c r="D62" s="3">
        <v>345</v>
      </c>
      <c r="E62" s="3">
        <v>12320</v>
      </c>
      <c r="F62" s="3">
        <v>11978</v>
      </c>
      <c r="G62" s="3">
        <v>238</v>
      </c>
      <c r="H62" s="3">
        <f t="shared" si="0"/>
        <v>1522</v>
      </c>
      <c r="O62" t="s">
        <v>248</v>
      </c>
      <c r="P62" t="s">
        <v>38</v>
      </c>
      <c r="Q62">
        <v>1528</v>
      </c>
      <c r="R62">
        <v>203</v>
      </c>
      <c r="S62">
        <v>489188</v>
      </c>
      <c r="T62">
        <v>6.23</v>
      </c>
      <c r="U62">
        <v>47101</v>
      </c>
      <c r="V62">
        <f t="shared" si="2"/>
        <v>1527.9995850266155</v>
      </c>
    </row>
    <row r="63" spans="1:22" x14ac:dyDescent="0.3">
      <c r="A63" s="3" t="s">
        <v>23</v>
      </c>
      <c r="B63" s="3">
        <v>3128</v>
      </c>
      <c r="C63" s="3">
        <v>211</v>
      </c>
      <c r="D63" s="3">
        <v>197</v>
      </c>
      <c r="E63" s="3">
        <v>59432</v>
      </c>
      <c r="F63" s="3">
        <v>59182</v>
      </c>
      <c r="G63" s="3">
        <v>238</v>
      </c>
      <c r="H63" s="3">
        <f t="shared" si="0"/>
        <v>3536</v>
      </c>
      <c r="O63" t="s">
        <v>178</v>
      </c>
      <c r="P63" t="s">
        <v>38</v>
      </c>
      <c r="Q63">
        <v>215</v>
      </c>
      <c r="R63">
        <v>139</v>
      </c>
      <c r="S63">
        <v>325444</v>
      </c>
      <c r="T63">
        <v>3.25</v>
      </c>
      <c r="U63">
        <v>35501</v>
      </c>
      <c r="V63">
        <f t="shared" si="2"/>
        <v>214.99957289118865</v>
      </c>
    </row>
    <row r="64" spans="1:22" x14ac:dyDescent="0.3">
      <c r="A64" s="3" t="s">
        <v>13</v>
      </c>
      <c r="B64" s="3">
        <v>1206</v>
      </c>
      <c r="C64" s="3">
        <v>238</v>
      </c>
      <c r="D64" s="3">
        <v>36</v>
      </c>
      <c r="E64" s="3">
        <v>9648</v>
      </c>
      <c r="F64" s="3">
        <v>9417</v>
      </c>
      <c r="G64" s="3">
        <v>237</v>
      </c>
      <c r="H64" s="3">
        <f t="shared" si="0"/>
        <v>1480</v>
      </c>
      <c r="O64" t="s">
        <v>97</v>
      </c>
      <c r="P64" t="s">
        <v>38</v>
      </c>
      <c r="Q64">
        <v>1685</v>
      </c>
      <c r="R64">
        <v>76</v>
      </c>
      <c r="S64">
        <v>453799</v>
      </c>
      <c r="T64">
        <v>5.71</v>
      </c>
      <c r="U64">
        <v>24913</v>
      </c>
      <c r="V64">
        <f t="shared" si="2"/>
        <v>1684.9998325249726</v>
      </c>
    </row>
    <row r="65" spans="1:22" x14ac:dyDescent="0.3">
      <c r="A65" s="3" t="s">
        <v>23</v>
      </c>
      <c r="B65" s="3">
        <v>3801</v>
      </c>
      <c r="C65" s="3">
        <v>967</v>
      </c>
      <c r="D65" s="3">
        <v>401</v>
      </c>
      <c r="E65" s="3">
        <v>38010</v>
      </c>
      <c r="F65" s="3">
        <v>37625</v>
      </c>
      <c r="G65" s="3">
        <v>236</v>
      </c>
      <c r="H65" s="3">
        <f t="shared" si="0"/>
        <v>5169</v>
      </c>
      <c r="O65" t="s">
        <v>363</v>
      </c>
      <c r="P65" t="s">
        <v>38</v>
      </c>
      <c r="Q65">
        <v>1429</v>
      </c>
      <c r="R65">
        <v>182</v>
      </c>
      <c r="S65">
        <v>101332</v>
      </c>
      <c r="T65">
        <v>7.16</v>
      </c>
      <c r="U65">
        <v>37829</v>
      </c>
      <c r="V65">
        <f t="shared" si="2"/>
        <v>1428.9982039237359</v>
      </c>
    </row>
    <row r="66" spans="1:22" x14ac:dyDescent="0.3">
      <c r="A66" s="3" t="s">
        <v>23</v>
      </c>
      <c r="B66" s="3">
        <v>1952</v>
      </c>
      <c r="C66" s="3">
        <v>344</v>
      </c>
      <c r="D66" s="3">
        <v>287</v>
      </c>
      <c r="E66" s="3">
        <v>15616</v>
      </c>
      <c r="F66" s="3">
        <v>15403</v>
      </c>
      <c r="G66" s="3">
        <v>235</v>
      </c>
      <c r="H66" s="3">
        <f t="shared" si="0"/>
        <v>2583</v>
      </c>
      <c r="O66" t="s">
        <v>285</v>
      </c>
      <c r="P66" t="s">
        <v>38</v>
      </c>
      <c r="Q66">
        <v>1592</v>
      </c>
      <c r="R66">
        <v>20</v>
      </c>
      <c r="S66">
        <v>378054</v>
      </c>
      <c r="T66">
        <v>9.09</v>
      </c>
      <c r="U66">
        <v>26663</v>
      </c>
      <c r="V66">
        <f t="shared" ref="V66:V97" si="3">Q66-R66/S66</f>
        <v>1591.9999470975047</v>
      </c>
    </row>
    <row r="67" spans="1:22" x14ac:dyDescent="0.3">
      <c r="A67" s="3" t="s">
        <v>18</v>
      </c>
      <c r="B67" s="3">
        <v>3828</v>
      </c>
      <c r="C67" s="3">
        <v>148</v>
      </c>
      <c r="D67" s="3">
        <v>253</v>
      </c>
      <c r="E67" s="3">
        <v>30624</v>
      </c>
      <c r="F67" s="3">
        <v>30229</v>
      </c>
      <c r="G67" s="3">
        <v>235</v>
      </c>
      <c r="H67" s="3">
        <f t="shared" ref="H67:H130" si="4">SUM(B67:D67)</f>
        <v>4229</v>
      </c>
      <c r="O67" t="s">
        <v>392</v>
      </c>
      <c r="P67" t="s">
        <v>38</v>
      </c>
      <c r="Q67">
        <v>778</v>
      </c>
      <c r="R67">
        <v>401</v>
      </c>
      <c r="S67">
        <v>50793</v>
      </c>
      <c r="T67">
        <v>3.4</v>
      </c>
      <c r="U67">
        <v>21939</v>
      </c>
      <c r="V67">
        <f t="shared" si="3"/>
        <v>777.99210521134808</v>
      </c>
    </row>
    <row r="68" spans="1:22" x14ac:dyDescent="0.3">
      <c r="A68" s="3" t="s">
        <v>23</v>
      </c>
      <c r="B68" s="3">
        <v>3860</v>
      </c>
      <c r="C68" s="3">
        <v>201</v>
      </c>
      <c r="D68" s="3">
        <v>279</v>
      </c>
      <c r="E68" s="3">
        <v>61760</v>
      </c>
      <c r="F68" s="3">
        <v>61660</v>
      </c>
      <c r="G68" s="3">
        <v>235</v>
      </c>
      <c r="H68" s="3">
        <f t="shared" si="4"/>
        <v>4340</v>
      </c>
      <c r="O68" t="s">
        <v>393</v>
      </c>
      <c r="P68" t="s">
        <v>38</v>
      </c>
      <c r="Q68">
        <v>817</v>
      </c>
      <c r="R68">
        <v>151</v>
      </c>
      <c r="S68">
        <v>422625</v>
      </c>
      <c r="T68">
        <v>2.36</v>
      </c>
      <c r="U68">
        <v>1083</v>
      </c>
      <c r="V68">
        <f t="shared" si="3"/>
        <v>816.99964270925761</v>
      </c>
    </row>
    <row r="69" spans="1:22" x14ac:dyDescent="0.3">
      <c r="A69" s="3" t="s">
        <v>23</v>
      </c>
      <c r="B69" s="3">
        <v>305</v>
      </c>
      <c r="C69" s="3">
        <v>187</v>
      </c>
      <c r="D69" s="3">
        <v>243</v>
      </c>
      <c r="E69" s="3">
        <v>4575</v>
      </c>
      <c r="F69" s="3">
        <v>3704</v>
      </c>
      <c r="G69" s="3">
        <v>234</v>
      </c>
      <c r="H69" s="3">
        <f t="shared" si="4"/>
        <v>735</v>
      </c>
      <c r="O69" t="s">
        <v>394</v>
      </c>
      <c r="P69" t="s">
        <v>38</v>
      </c>
      <c r="Q69">
        <v>1433</v>
      </c>
      <c r="R69">
        <v>408</v>
      </c>
      <c r="S69">
        <v>370269</v>
      </c>
      <c r="T69">
        <v>3.3</v>
      </c>
      <c r="U69">
        <v>30575</v>
      </c>
      <c r="V69">
        <f t="shared" si="3"/>
        <v>1432.9988980984094</v>
      </c>
    </row>
    <row r="70" spans="1:22" x14ac:dyDescent="0.3">
      <c r="A70" s="3" t="s">
        <v>23</v>
      </c>
      <c r="B70" s="3">
        <v>3811</v>
      </c>
      <c r="C70" s="3">
        <v>866</v>
      </c>
      <c r="D70" s="3">
        <v>216</v>
      </c>
      <c r="E70" s="3">
        <v>34299</v>
      </c>
      <c r="F70" s="3">
        <v>34088</v>
      </c>
      <c r="G70" s="3">
        <v>233</v>
      </c>
      <c r="H70" s="3">
        <f t="shared" si="4"/>
        <v>4893</v>
      </c>
      <c r="O70" t="s">
        <v>395</v>
      </c>
      <c r="P70" t="s">
        <v>38</v>
      </c>
      <c r="Q70">
        <v>1939</v>
      </c>
      <c r="R70">
        <v>67</v>
      </c>
      <c r="S70">
        <v>187183</v>
      </c>
      <c r="T70">
        <v>6.25</v>
      </c>
      <c r="U70">
        <v>41215</v>
      </c>
      <c r="V70">
        <f t="shared" si="3"/>
        <v>1938.9996420615121</v>
      </c>
    </row>
    <row r="71" spans="1:22" x14ac:dyDescent="0.3">
      <c r="A71" s="3" t="s">
        <v>18</v>
      </c>
      <c r="B71" s="3">
        <v>3718</v>
      </c>
      <c r="C71" s="3">
        <v>385</v>
      </c>
      <c r="D71" s="3">
        <v>310</v>
      </c>
      <c r="E71" s="3">
        <v>70642</v>
      </c>
      <c r="F71" s="3">
        <v>69749</v>
      </c>
      <c r="G71" s="3">
        <v>233</v>
      </c>
      <c r="H71" s="3">
        <f t="shared" si="4"/>
        <v>4413</v>
      </c>
      <c r="O71" t="s">
        <v>396</v>
      </c>
      <c r="P71" t="s">
        <v>38</v>
      </c>
      <c r="Q71">
        <v>1527</v>
      </c>
      <c r="R71">
        <v>303</v>
      </c>
      <c r="S71">
        <v>388555</v>
      </c>
      <c r="T71">
        <v>8.9</v>
      </c>
      <c r="U71">
        <v>36397</v>
      </c>
      <c r="V71">
        <f t="shared" si="3"/>
        <v>1526.9992201876182</v>
      </c>
    </row>
    <row r="72" spans="1:22" x14ac:dyDescent="0.3">
      <c r="A72" s="3" t="s">
        <v>23</v>
      </c>
      <c r="B72" s="3">
        <v>571</v>
      </c>
      <c r="C72" s="3">
        <v>190</v>
      </c>
      <c r="D72" s="3">
        <v>352</v>
      </c>
      <c r="E72" s="3">
        <v>9707</v>
      </c>
      <c r="F72" s="3">
        <v>9418</v>
      </c>
      <c r="G72" s="3">
        <v>231</v>
      </c>
      <c r="H72" s="3">
        <f t="shared" si="4"/>
        <v>1113</v>
      </c>
      <c r="O72" t="s">
        <v>159</v>
      </c>
      <c r="P72" t="s">
        <v>38</v>
      </c>
      <c r="Q72">
        <v>703</v>
      </c>
      <c r="R72">
        <v>441</v>
      </c>
      <c r="S72">
        <v>357089</v>
      </c>
      <c r="T72">
        <v>6.5</v>
      </c>
      <c r="U72">
        <v>32478</v>
      </c>
      <c r="V72">
        <f t="shared" si="3"/>
        <v>702.99876501376411</v>
      </c>
    </row>
    <row r="73" spans="1:22" x14ac:dyDescent="0.3">
      <c r="A73" s="3" t="s">
        <v>38</v>
      </c>
      <c r="B73" s="3">
        <v>4177</v>
      </c>
      <c r="C73" s="3">
        <v>569</v>
      </c>
      <c r="D73" s="3">
        <v>55</v>
      </c>
      <c r="E73" s="3">
        <v>25062</v>
      </c>
      <c r="F73" s="3">
        <v>24847</v>
      </c>
      <c r="G73" s="3">
        <v>230</v>
      </c>
      <c r="H73" s="3">
        <f t="shared" si="4"/>
        <v>4801</v>
      </c>
      <c r="O73" t="s">
        <v>72</v>
      </c>
      <c r="P73" t="s">
        <v>38</v>
      </c>
      <c r="Q73">
        <v>642</v>
      </c>
      <c r="R73">
        <v>66</v>
      </c>
      <c r="S73">
        <v>346522</v>
      </c>
      <c r="T73">
        <v>5.85</v>
      </c>
      <c r="U73">
        <v>13116</v>
      </c>
      <c r="V73">
        <f t="shared" si="3"/>
        <v>641.9998095359025</v>
      </c>
    </row>
    <row r="74" spans="1:22" x14ac:dyDescent="0.3">
      <c r="A74" s="3" t="s">
        <v>23</v>
      </c>
      <c r="B74" s="3">
        <v>3239</v>
      </c>
      <c r="C74" s="3">
        <v>43</v>
      </c>
      <c r="D74" s="3">
        <v>211</v>
      </c>
      <c r="E74" s="3">
        <v>22673</v>
      </c>
      <c r="F74" s="3">
        <v>22171</v>
      </c>
      <c r="G74" s="3">
        <v>230</v>
      </c>
      <c r="H74" s="3">
        <f t="shared" si="4"/>
        <v>3493</v>
      </c>
      <c r="O74" t="s">
        <v>333</v>
      </c>
      <c r="P74" t="s">
        <v>38</v>
      </c>
      <c r="Q74">
        <v>1466</v>
      </c>
      <c r="R74">
        <v>69</v>
      </c>
      <c r="S74">
        <v>54935</v>
      </c>
      <c r="T74">
        <v>6.85</v>
      </c>
      <c r="U74">
        <v>36484</v>
      </c>
      <c r="V74">
        <f t="shared" si="3"/>
        <v>1465.9987439701465</v>
      </c>
    </row>
    <row r="75" spans="1:22" x14ac:dyDescent="0.3">
      <c r="A75" s="3" t="s">
        <v>23</v>
      </c>
      <c r="B75" s="3">
        <v>1330</v>
      </c>
      <c r="C75" s="3">
        <v>925</v>
      </c>
      <c r="D75" s="3">
        <v>35</v>
      </c>
      <c r="E75" s="3">
        <v>15960</v>
      </c>
      <c r="F75" s="3">
        <v>15379</v>
      </c>
      <c r="G75" s="3">
        <v>229</v>
      </c>
      <c r="H75" s="3">
        <f t="shared" si="4"/>
        <v>2290</v>
      </c>
      <c r="O75" t="s">
        <v>397</v>
      </c>
      <c r="P75" t="s">
        <v>38</v>
      </c>
      <c r="Q75">
        <v>1075</v>
      </c>
      <c r="R75">
        <v>173</v>
      </c>
      <c r="S75">
        <v>51395</v>
      </c>
      <c r="T75">
        <v>4.66</v>
      </c>
      <c r="U75">
        <v>47812</v>
      </c>
      <c r="V75">
        <f t="shared" si="3"/>
        <v>1074.9966339138048</v>
      </c>
    </row>
    <row r="76" spans="1:22" x14ac:dyDescent="0.3">
      <c r="A76" s="3" t="s">
        <v>13</v>
      </c>
      <c r="B76" s="3">
        <v>3389</v>
      </c>
      <c r="C76" s="3">
        <v>344</v>
      </c>
      <c r="D76" s="3">
        <v>229</v>
      </c>
      <c r="E76" s="3">
        <v>20334</v>
      </c>
      <c r="F76" s="3">
        <v>19443</v>
      </c>
      <c r="G76" s="3">
        <v>228</v>
      </c>
      <c r="H76" s="3">
        <f t="shared" si="4"/>
        <v>3962</v>
      </c>
      <c r="O76" t="s">
        <v>188</v>
      </c>
      <c r="P76" t="s">
        <v>38</v>
      </c>
      <c r="Q76">
        <v>187</v>
      </c>
      <c r="R76">
        <v>236</v>
      </c>
      <c r="S76">
        <v>51087</v>
      </c>
      <c r="T76">
        <v>9.41</v>
      </c>
      <c r="U76">
        <v>29533</v>
      </c>
      <c r="V76">
        <f t="shared" si="3"/>
        <v>186.99538042946347</v>
      </c>
    </row>
    <row r="77" spans="1:22" x14ac:dyDescent="0.3">
      <c r="A77" s="3" t="s">
        <v>13</v>
      </c>
      <c r="B77" s="3">
        <v>2551</v>
      </c>
      <c r="C77" s="3">
        <v>915</v>
      </c>
      <c r="D77" s="3">
        <v>205</v>
      </c>
      <c r="E77" s="3">
        <v>30612</v>
      </c>
      <c r="F77" s="3">
        <v>30360</v>
      </c>
      <c r="G77" s="3">
        <v>227</v>
      </c>
      <c r="H77" s="3">
        <f t="shared" si="4"/>
        <v>3671</v>
      </c>
      <c r="O77" t="s">
        <v>105</v>
      </c>
      <c r="P77" t="s">
        <v>38</v>
      </c>
      <c r="Q77">
        <v>1854</v>
      </c>
      <c r="R77">
        <v>161</v>
      </c>
      <c r="S77">
        <v>282466</v>
      </c>
      <c r="T77">
        <v>5.17</v>
      </c>
      <c r="U77">
        <v>1810</v>
      </c>
      <c r="V77">
        <f t="shared" si="3"/>
        <v>1853.9994300198962</v>
      </c>
    </row>
    <row r="78" spans="1:22" x14ac:dyDescent="0.3">
      <c r="A78" s="3" t="s">
        <v>18</v>
      </c>
      <c r="B78" s="3">
        <v>3767</v>
      </c>
      <c r="C78" s="3">
        <v>514</v>
      </c>
      <c r="D78" s="3">
        <v>238</v>
      </c>
      <c r="E78" s="3">
        <v>37670</v>
      </c>
      <c r="F78" s="3">
        <v>36807</v>
      </c>
      <c r="G78" s="3">
        <v>226</v>
      </c>
      <c r="H78" s="3">
        <f t="shared" si="4"/>
        <v>4519</v>
      </c>
      <c r="O78" t="s">
        <v>398</v>
      </c>
      <c r="P78" t="s">
        <v>38</v>
      </c>
      <c r="Q78">
        <v>1696</v>
      </c>
      <c r="R78">
        <v>71</v>
      </c>
      <c r="S78">
        <v>421957</v>
      </c>
      <c r="T78">
        <v>3.79</v>
      </c>
      <c r="U78">
        <v>36103</v>
      </c>
      <c r="V78">
        <f t="shared" si="3"/>
        <v>1695.9998317364091</v>
      </c>
    </row>
    <row r="79" spans="1:22" x14ac:dyDescent="0.3">
      <c r="A79" s="3" t="s">
        <v>18</v>
      </c>
      <c r="B79" s="3">
        <v>2200</v>
      </c>
      <c r="C79" s="3">
        <v>504</v>
      </c>
      <c r="D79" s="3">
        <v>239</v>
      </c>
      <c r="E79" s="3">
        <v>37400</v>
      </c>
      <c r="F79" s="3">
        <v>36938</v>
      </c>
      <c r="G79" s="3">
        <v>225</v>
      </c>
      <c r="H79" s="3">
        <f t="shared" si="4"/>
        <v>2943</v>
      </c>
      <c r="O79" t="s">
        <v>281</v>
      </c>
      <c r="P79" t="s">
        <v>38</v>
      </c>
      <c r="Q79">
        <v>1494</v>
      </c>
      <c r="R79">
        <v>375</v>
      </c>
      <c r="S79">
        <v>220616</v>
      </c>
      <c r="T79">
        <v>1.81</v>
      </c>
      <c r="U79">
        <v>22724</v>
      </c>
      <c r="V79">
        <f t="shared" si="3"/>
        <v>1493.9983002139463</v>
      </c>
    </row>
    <row r="80" spans="1:22" x14ac:dyDescent="0.3">
      <c r="A80" s="3" t="s">
        <v>18</v>
      </c>
      <c r="B80" s="3">
        <v>1606</v>
      </c>
      <c r="C80" s="3">
        <v>547</v>
      </c>
      <c r="D80" s="3">
        <v>316</v>
      </c>
      <c r="E80" s="3">
        <v>32120</v>
      </c>
      <c r="F80" s="3">
        <v>31736</v>
      </c>
      <c r="G80" s="3">
        <v>225</v>
      </c>
      <c r="H80" s="3">
        <f t="shared" si="4"/>
        <v>2469</v>
      </c>
      <c r="O80" t="s">
        <v>213</v>
      </c>
      <c r="P80" t="s">
        <v>38</v>
      </c>
      <c r="Q80">
        <v>1502</v>
      </c>
      <c r="R80">
        <v>70</v>
      </c>
      <c r="S80">
        <v>465553</v>
      </c>
      <c r="T80">
        <v>3.32</v>
      </c>
      <c r="U80">
        <v>20692</v>
      </c>
      <c r="V80">
        <f t="shared" si="3"/>
        <v>1501.9998496411795</v>
      </c>
    </row>
    <row r="81" spans="1:22" x14ac:dyDescent="0.3">
      <c r="A81" s="3" t="s">
        <v>23</v>
      </c>
      <c r="B81" s="3">
        <v>2692</v>
      </c>
      <c r="C81" s="3">
        <v>115</v>
      </c>
      <c r="D81" s="3">
        <v>64</v>
      </c>
      <c r="E81" s="3">
        <v>21536</v>
      </c>
      <c r="F81" s="3">
        <v>21120</v>
      </c>
      <c r="G81" s="3">
        <v>224</v>
      </c>
      <c r="H81" s="3">
        <f t="shared" si="4"/>
        <v>2871</v>
      </c>
      <c r="O81" t="s">
        <v>135</v>
      </c>
      <c r="P81" t="s">
        <v>38</v>
      </c>
      <c r="Q81">
        <v>1092</v>
      </c>
      <c r="R81">
        <v>408</v>
      </c>
      <c r="S81">
        <v>280795</v>
      </c>
      <c r="T81">
        <v>8.44</v>
      </c>
      <c r="U81">
        <v>4683</v>
      </c>
      <c r="V81">
        <f t="shared" si="3"/>
        <v>1091.9985469826743</v>
      </c>
    </row>
    <row r="82" spans="1:22" x14ac:dyDescent="0.3">
      <c r="A82" s="3" t="s">
        <v>13</v>
      </c>
      <c r="B82" s="3">
        <v>3557</v>
      </c>
      <c r="C82" s="3">
        <v>687</v>
      </c>
      <c r="D82" s="3">
        <v>424</v>
      </c>
      <c r="E82" s="3">
        <v>71140</v>
      </c>
      <c r="F82" s="3">
        <v>70701</v>
      </c>
      <c r="G82" s="3">
        <v>224</v>
      </c>
      <c r="H82" s="3">
        <f t="shared" si="4"/>
        <v>4668</v>
      </c>
      <c r="O82" t="s">
        <v>399</v>
      </c>
      <c r="P82" t="s">
        <v>38</v>
      </c>
      <c r="Q82">
        <v>1814</v>
      </c>
      <c r="R82">
        <v>49</v>
      </c>
      <c r="S82">
        <v>140804</v>
      </c>
      <c r="T82">
        <v>1.76</v>
      </c>
      <c r="U82">
        <v>4313</v>
      </c>
      <c r="V82">
        <f t="shared" si="3"/>
        <v>1813.9996519985227</v>
      </c>
    </row>
    <row r="83" spans="1:22" x14ac:dyDescent="0.3">
      <c r="A83" s="3" t="s">
        <v>23</v>
      </c>
      <c r="B83" s="3">
        <v>1000</v>
      </c>
      <c r="C83" s="3">
        <v>978</v>
      </c>
      <c r="D83" s="3">
        <v>162</v>
      </c>
      <c r="E83" s="3">
        <v>6000</v>
      </c>
      <c r="F83" s="3">
        <v>5221</v>
      </c>
      <c r="G83" s="3">
        <v>223</v>
      </c>
      <c r="H83" s="3">
        <f t="shared" si="4"/>
        <v>2140</v>
      </c>
      <c r="O83" t="s">
        <v>319</v>
      </c>
      <c r="P83" t="s">
        <v>38</v>
      </c>
      <c r="Q83">
        <v>1013</v>
      </c>
      <c r="R83">
        <v>110</v>
      </c>
      <c r="S83">
        <v>466382</v>
      </c>
      <c r="T83">
        <v>5.3</v>
      </c>
      <c r="U83">
        <v>37132</v>
      </c>
      <c r="V83">
        <f t="shared" si="3"/>
        <v>1012.9997641418408</v>
      </c>
    </row>
    <row r="84" spans="1:22" x14ac:dyDescent="0.3">
      <c r="A84" s="3" t="s">
        <v>23</v>
      </c>
      <c r="B84" s="3">
        <v>4858</v>
      </c>
      <c r="C84" s="3">
        <v>317</v>
      </c>
      <c r="D84" s="3">
        <v>129</v>
      </c>
      <c r="E84" s="3">
        <v>53438</v>
      </c>
      <c r="F84" s="3">
        <v>52687</v>
      </c>
      <c r="G84" s="3">
        <v>223</v>
      </c>
      <c r="H84" s="3">
        <f t="shared" si="4"/>
        <v>5304</v>
      </c>
      <c r="O84" t="s">
        <v>400</v>
      </c>
      <c r="P84" t="s">
        <v>38</v>
      </c>
      <c r="Q84">
        <v>1855</v>
      </c>
      <c r="R84">
        <v>133</v>
      </c>
      <c r="S84">
        <v>349413</v>
      </c>
      <c r="T84">
        <v>3.3</v>
      </c>
      <c r="U84">
        <v>14548</v>
      </c>
      <c r="V84">
        <f t="shared" si="3"/>
        <v>1854.999619361615</v>
      </c>
    </row>
    <row r="85" spans="1:22" x14ac:dyDescent="0.3">
      <c r="A85" s="3" t="s">
        <v>38</v>
      </c>
      <c r="B85" s="3">
        <v>2566</v>
      </c>
      <c r="C85" s="3">
        <v>118</v>
      </c>
      <c r="D85" s="3">
        <v>37</v>
      </c>
      <c r="E85" s="3">
        <v>12830</v>
      </c>
      <c r="F85" s="3">
        <v>12264</v>
      </c>
      <c r="G85" s="3">
        <v>221</v>
      </c>
      <c r="H85" s="3">
        <f t="shared" si="4"/>
        <v>2721</v>
      </c>
      <c r="O85" t="s">
        <v>401</v>
      </c>
      <c r="P85" t="s">
        <v>38</v>
      </c>
      <c r="Q85">
        <v>1748</v>
      </c>
      <c r="R85">
        <v>176</v>
      </c>
      <c r="S85">
        <v>383681</v>
      </c>
      <c r="T85">
        <v>9.24</v>
      </c>
      <c r="U85">
        <v>43122</v>
      </c>
      <c r="V85">
        <f t="shared" si="3"/>
        <v>1747.9995412855992</v>
      </c>
    </row>
    <row r="86" spans="1:22" x14ac:dyDescent="0.3">
      <c r="A86" s="3" t="s">
        <v>13</v>
      </c>
      <c r="B86" s="3">
        <v>3874</v>
      </c>
      <c r="C86" s="3">
        <v>884</v>
      </c>
      <c r="D86" s="3">
        <v>19</v>
      </c>
      <c r="E86" s="3">
        <v>38740</v>
      </c>
      <c r="F86" s="3">
        <v>38552</v>
      </c>
      <c r="G86" s="3">
        <v>219</v>
      </c>
      <c r="H86" s="3">
        <f t="shared" si="4"/>
        <v>4777</v>
      </c>
      <c r="O86" t="s">
        <v>93</v>
      </c>
      <c r="P86" t="s">
        <v>38</v>
      </c>
      <c r="Q86">
        <v>115</v>
      </c>
      <c r="R86">
        <v>281</v>
      </c>
      <c r="S86">
        <v>357265</v>
      </c>
      <c r="T86">
        <v>9.23</v>
      </c>
      <c r="U86">
        <v>25525</v>
      </c>
      <c r="V86">
        <f t="shared" si="3"/>
        <v>114.9992134689936</v>
      </c>
    </row>
    <row r="87" spans="1:22" x14ac:dyDescent="0.3">
      <c r="A87" s="3" t="s">
        <v>23</v>
      </c>
      <c r="B87" s="3">
        <v>1606</v>
      </c>
      <c r="C87" s="3">
        <v>451</v>
      </c>
      <c r="D87" s="3">
        <v>405</v>
      </c>
      <c r="E87" s="3">
        <v>20878</v>
      </c>
      <c r="F87" s="3">
        <v>20190</v>
      </c>
      <c r="G87" s="3">
        <v>219</v>
      </c>
      <c r="H87" s="3">
        <f t="shared" si="4"/>
        <v>2462</v>
      </c>
      <c r="O87" t="s">
        <v>402</v>
      </c>
      <c r="P87" t="s">
        <v>38</v>
      </c>
      <c r="Q87">
        <v>1556</v>
      </c>
      <c r="R87">
        <v>476</v>
      </c>
      <c r="S87">
        <v>351556</v>
      </c>
      <c r="T87">
        <v>3.89</v>
      </c>
      <c r="U87">
        <v>10825</v>
      </c>
      <c r="V87">
        <f t="shared" si="3"/>
        <v>1555.9986460194109</v>
      </c>
    </row>
    <row r="88" spans="1:22" x14ac:dyDescent="0.3">
      <c r="A88" s="3" t="s">
        <v>38</v>
      </c>
      <c r="B88" s="3">
        <v>4941</v>
      </c>
      <c r="C88" s="3">
        <v>414</v>
      </c>
      <c r="D88" s="3">
        <v>266</v>
      </c>
      <c r="E88" s="3">
        <v>39528</v>
      </c>
      <c r="F88" s="3">
        <v>39154</v>
      </c>
      <c r="G88" s="3">
        <v>217</v>
      </c>
      <c r="H88" s="3">
        <f t="shared" si="4"/>
        <v>5621</v>
      </c>
      <c r="O88" t="s">
        <v>275</v>
      </c>
      <c r="P88" t="s">
        <v>38</v>
      </c>
      <c r="Q88">
        <v>1957</v>
      </c>
      <c r="R88">
        <v>234</v>
      </c>
      <c r="S88">
        <v>222126</v>
      </c>
      <c r="T88">
        <v>4.6100000000000003</v>
      </c>
      <c r="U88">
        <v>3314</v>
      </c>
      <c r="V88">
        <f t="shared" si="3"/>
        <v>1956.9989465438534</v>
      </c>
    </row>
    <row r="89" spans="1:22" x14ac:dyDescent="0.3">
      <c r="A89" s="3" t="s">
        <v>38</v>
      </c>
      <c r="B89" s="3">
        <v>246</v>
      </c>
      <c r="C89" s="3">
        <v>149</v>
      </c>
      <c r="D89" s="3">
        <v>130</v>
      </c>
      <c r="E89" s="3">
        <v>4674</v>
      </c>
      <c r="F89" s="3">
        <v>4390</v>
      </c>
      <c r="G89" s="3">
        <v>217</v>
      </c>
      <c r="H89" s="3">
        <f t="shared" si="4"/>
        <v>525</v>
      </c>
      <c r="O89" t="s">
        <v>210</v>
      </c>
      <c r="P89" t="s">
        <v>38</v>
      </c>
      <c r="Q89">
        <v>1138</v>
      </c>
      <c r="R89">
        <v>173</v>
      </c>
      <c r="S89">
        <v>453243</v>
      </c>
      <c r="T89">
        <v>2.86</v>
      </c>
      <c r="U89">
        <v>44097</v>
      </c>
      <c r="V89">
        <f t="shared" si="3"/>
        <v>1137.9996183062949</v>
      </c>
    </row>
    <row r="90" spans="1:22" x14ac:dyDescent="0.3">
      <c r="A90" s="3" t="s">
        <v>23</v>
      </c>
      <c r="B90" s="3">
        <v>2358</v>
      </c>
      <c r="C90" s="3">
        <v>784</v>
      </c>
      <c r="D90" s="3">
        <v>344</v>
      </c>
      <c r="E90" s="3">
        <v>35370</v>
      </c>
      <c r="F90" s="3">
        <v>34475</v>
      </c>
      <c r="G90" s="3">
        <v>216</v>
      </c>
      <c r="H90" s="3">
        <f t="shared" si="4"/>
        <v>3486</v>
      </c>
      <c r="O90" t="s">
        <v>131</v>
      </c>
      <c r="P90" t="s">
        <v>38</v>
      </c>
      <c r="Q90">
        <v>1440</v>
      </c>
      <c r="R90">
        <v>65</v>
      </c>
      <c r="S90">
        <v>126524</v>
      </c>
      <c r="T90">
        <v>4.34</v>
      </c>
      <c r="U90">
        <v>49772</v>
      </c>
      <c r="V90">
        <f t="shared" si="3"/>
        <v>1439.9994862634758</v>
      </c>
    </row>
    <row r="91" spans="1:22" x14ac:dyDescent="0.3">
      <c r="A91" s="3" t="s">
        <v>18</v>
      </c>
      <c r="B91" s="3">
        <v>1652</v>
      </c>
      <c r="C91" s="3">
        <v>89</v>
      </c>
      <c r="D91" s="3">
        <v>357</v>
      </c>
      <c r="E91" s="3">
        <v>29736</v>
      </c>
      <c r="F91" s="3">
        <v>28771</v>
      </c>
      <c r="G91" s="3">
        <v>215</v>
      </c>
      <c r="H91" s="3">
        <f t="shared" si="4"/>
        <v>2098</v>
      </c>
      <c r="O91" t="s">
        <v>355</v>
      </c>
      <c r="P91" t="s">
        <v>38</v>
      </c>
      <c r="Q91">
        <v>1371</v>
      </c>
      <c r="R91">
        <v>56</v>
      </c>
      <c r="S91">
        <v>257579</v>
      </c>
      <c r="T91">
        <v>8.6199999999999992</v>
      </c>
      <c r="U91">
        <v>33799</v>
      </c>
      <c r="V91">
        <f t="shared" si="3"/>
        <v>1370.999782590972</v>
      </c>
    </row>
    <row r="92" spans="1:22" x14ac:dyDescent="0.3">
      <c r="A92" s="3" t="s">
        <v>18</v>
      </c>
      <c r="B92" s="3">
        <v>1946</v>
      </c>
      <c r="C92" s="3">
        <v>686</v>
      </c>
      <c r="D92" s="3">
        <v>377</v>
      </c>
      <c r="E92" s="3">
        <v>23352</v>
      </c>
      <c r="F92" s="3">
        <v>22982</v>
      </c>
      <c r="G92" s="3">
        <v>213</v>
      </c>
      <c r="H92" s="3">
        <f t="shared" si="4"/>
        <v>3009</v>
      </c>
      <c r="O92" t="s">
        <v>403</v>
      </c>
      <c r="P92" t="s">
        <v>38</v>
      </c>
      <c r="Q92">
        <v>393</v>
      </c>
      <c r="R92">
        <v>181</v>
      </c>
      <c r="S92">
        <v>462142</v>
      </c>
      <c r="T92">
        <v>7.23</v>
      </c>
      <c r="U92">
        <v>6296</v>
      </c>
      <c r="V92">
        <f t="shared" si="3"/>
        <v>392.99960834548688</v>
      </c>
    </row>
    <row r="93" spans="1:22" x14ac:dyDescent="0.3">
      <c r="A93" s="3" t="s">
        <v>18</v>
      </c>
      <c r="B93" s="3">
        <v>886</v>
      </c>
      <c r="C93" s="3">
        <v>126</v>
      </c>
      <c r="D93" s="3">
        <v>153</v>
      </c>
      <c r="E93" s="3">
        <v>4430</v>
      </c>
      <c r="F93" s="3">
        <v>4037</v>
      </c>
      <c r="G93" s="3">
        <v>212</v>
      </c>
      <c r="H93" s="3">
        <f t="shared" si="4"/>
        <v>1165</v>
      </c>
      <c r="O93" t="s">
        <v>404</v>
      </c>
      <c r="P93" t="s">
        <v>38</v>
      </c>
      <c r="Q93">
        <v>1102</v>
      </c>
      <c r="R93">
        <v>422</v>
      </c>
      <c r="S93">
        <v>410330</v>
      </c>
      <c r="T93">
        <v>7.74</v>
      </c>
      <c r="U93">
        <v>9480</v>
      </c>
      <c r="V93">
        <f t="shared" si="3"/>
        <v>1101.9989715594766</v>
      </c>
    </row>
    <row r="94" spans="1:22" x14ac:dyDescent="0.3">
      <c r="A94" s="3" t="s">
        <v>23</v>
      </c>
      <c r="B94" s="3">
        <v>754</v>
      </c>
      <c r="C94" s="3">
        <v>197</v>
      </c>
      <c r="D94" s="3">
        <v>257</v>
      </c>
      <c r="E94" s="3">
        <v>6786</v>
      </c>
      <c r="F94" s="3">
        <v>6221</v>
      </c>
      <c r="G94" s="3">
        <v>212</v>
      </c>
      <c r="H94" s="3">
        <f t="shared" si="4"/>
        <v>1208</v>
      </c>
      <c r="O94" t="s">
        <v>128</v>
      </c>
      <c r="P94" t="s">
        <v>38</v>
      </c>
      <c r="Q94">
        <v>490</v>
      </c>
      <c r="R94">
        <v>29</v>
      </c>
      <c r="S94">
        <v>364810</v>
      </c>
      <c r="T94">
        <v>1.53</v>
      </c>
      <c r="U94">
        <v>49077</v>
      </c>
      <c r="V94">
        <f t="shared" si="3"/>
        <v>489.99992050656505</v>
      </c>
    </row>
    <row r="95" spans="1:22" x14ac:dyDescent="0.3">
      <c r="A95" s="3" t="s">
        <v>18</v>
      </c>
      <c r="B95" s="3">
        <v>3689</v>
      </c>
      <c r="C95" s="3">
        <v>48</v>
      </c>
      <c r="D95" s="3">
        <v>306</v>
      </c>
      <c r="E95" s="3">
        <v>40579</v>
      </c>
      <c r="F95" s="3">
        <v>39588</v>
      </c>
      <c r="G95" s="3">
        <v>212</v>
      </c>
      <c r="H95" s="3">
        <f t="shared" si="4"/>
        <v>4043</v>
      </c>
      <c r="O95" t="s">
        <v>405</v>
      </c>
      <c r="P95" t="s">
        <v>38</v>
      </c>
      <c r="Q95">
        <v>1033</v>
      </c>
      <c r="R95">
        <v>392</v>
      </c>
      <c r="S95">
        <v>282780</v>
      </c>
      <c r="T95">
        <v>6.27</v>
      </c>
      <c r="U95">
        <v>23140</v>
      </c>
      <c r="V95">
        <f t="shared" si="3"/>
        <v>1032.9986137633496</v>
      </c>
    </row>
    <row r="96" spans="1:22" x14ac:dyDescent="0.3">
      <c r="A96" s="3" t="s">
        <v>13</v>
      </c>
      <c r="B96" s="3">
        <v>3009</v>
      </c>
      <c r="C96" s="3">
        <v>413</v>
      </c>
      <c r="D96" s="3">
        <v>358</v>
      </c>
      <c r="E96" s="3">
        <v>42126</v>
      </c>
      <c r="F96" s="3">
        <v>41309</v>
      </c>
      <c r="G96" s="3">
        <v>211</v>
      </c>
      <c r="H96" s="3">
        <f t="shared" si="4"/>
        <v>3780</v>
      </c>
      <c r="O96" t="s">
        <v>304</v>
      </c>
      <c r="P96" t="s">
        <v>38</v>
      </c>
      <c r="Q96">
        <v>559</v>
      </c>
      <c r="R96">
        <v>392</v>
      </c>
      <c r="S96">
        <v>78789</v>
      </c>
      <c r="T96">
        <v>3.19</v>
      </c>
      <c r="U96">
        <v>2436</v>
      </c>
      <c r="V96">
        <f t="shared" si="3"/>
        <v>558.99502468618721</v>
      </c>
    </row>
    <row r="97" spans="1:22" x14ac:dyDescent="0.3">
      <c r="A97" s="3" t="s">
        <v>18</v>
      </c>
      <c r="B97" s="3">
        <v>4767</v>
      </c>
      <c r="C97" s="3">
        <v>190</v>
      </c>
      <c r="D97" s="3">
        <v>340</v>
      </c>
      <c r="E97" s="3">
        <v>28602</v>
      </c>
      <c r="F97" s="3">
        <v>28044</v>
      </c>
      <c r="G97" s="3">
        <v>210</v>
      </c>
      <c r="H97" s="3">
        <f t="shared" si="4"/>
        <v>5297</v>
      </c>
      <c r="O97" t="s">
        <v>406</v>
      </c>
      <c r="P97" t="s">
        <v>38</v>
      </c>
      <c r="Q97">
        <v>198</v>
      </c>
      <c r="R97">
        <v>358</v>
      </c>
      <c r="S97">
        <v>66682</v>
      </c>
      <c r="T97">
        <v>6.73</v>
      </c>
      <c r="U97">
        <v>2293</v>
      </c>
      <c r="V97">
        <f t="shared" si="3"/>
        <v>197.99463123481598</v>
      </c>
    </row>
    <row r="98" spans="1:22" x14ac:dyDescent="0.3">
      <c r="A98" s="3" t="s">
        <v>23</v>
      </c>
      <c r="B98" s="3">
        <v>3440</v>
      </c>
      <c r="C98" s="3">
        <v>13</v>
      </c>
      <c r="D98" s="3">
        <v>20</v>
      </c>
      <c r="E98" s="3">
        <v>58480</v>
      </c>
      <c r="F98" s="3">
        <v>58146</v>
      </c>
      <c r="G98" s="3">
        <v>210</v>
      </c>
      <c r="H98" s="3">
        <f t="shared" si="4"/>
        <v>3473</v>
      </c>
      <c r="O98" t="s">
        <v>407</v>
      </c>
      <c r="P98" t="s">
        <v>38</v>
      </c>
      <c r="Q98">
        <v>961</v>
      </c>
      <c r="R98">
        <v>358</v>
      </c>
      <c r="S98">
        <v>62942</v>
      </c>
      <c r="T98">
        <v>6.8</v>
      </c>
      <c r="U98">
        <v>18693</v>
      </c>
      <c r="V98">
        <f t="shared" ref="V98:V129" si="5">Q98-R98/S98</f>
        <v>960.99431222395219</v>
      </c>
    </row>
    <row r="99" spans="1:22" x14ac:dyDescent="0.3">
      <c r="A99" s="3" t="s">
        <v>23</v>
      </c>
      <c r="B99" s="3">
        <v>4050</v>
      </c>
      <c r="C99" s="3">
        <v>871</v>
      </c>
      <c r="D99" s="3">
        <v>347</v>
      </c>
      <c r="E99" s="3">
        <v>52650</v>
      </c>
      <c r="F99" s="3">
        <v>51755</v>
      </c>
      <c r="G99" s="3">
        <v>209</v>
      </c>
      <c r="H99" s="3">
        <f t="shared" si="4"/>
        <v>5268</v>
      </c>
      <c r="O99" t="s">
        <v>76</v>
      </c>
      <c r="P99" t="s">
        <v>38</v>
      </c>
      <c r="Q99">
        <v>1693</v>
      </c>
      <c r="R99">
        <v>154</v>
      </c>
      <c r="S99">
        <v>445944</v>
      </c>
      <c r="T99">
        <v>5.69</v>
      </c>
      <c r="U99">
        <v>14216</v>
      </c>
      <c r="V99">
        <f t="shared" si="5"/>
        <v>1692.9996546651598</v>
      </c>
    </row>
    <row r="100" spans="1:22" x14ac:dyDescent="0.3">
      <c r="A100" s="3" t="s">
        <v>38</v>
      </c>
      <c r="B100" s="3">
        <v>360</v>
      </c>
      <c r="C100" s="3">
        <v>590</v>
      </c>
      <c r="D100" s="3">
        <v>393</v>
      </c>
      <c r="E100" s="3">
        <v>4680</v>
      </c>
      <c r="F100" s="3">
        <v>4322</v>
      </c>
      <c r="G100" s="3">
        <v>208</v>
      </c>
      <c r="H100" s="3">
        <f t="shared" si="4"/>
        <v>1343</v>
      </c>
      <c r="O100" t="s">
        <v>329</v>
      </c>
      <c r="P100" t="s">
        <v>38</v>
      </c>
      <c r="Q100">
        <v>1957</v>
      </c>
      <c r="R100">
        <v>76</v>
      </c>
      <c r="S100">
        <v>447902</v>
      </c>
      <c r="T100">
        <v>6.09</v>
      </c>
      <c r="U100">
        <v>33381</v>
      </c>
      <c r="V100">
        <f t="shared" si="5"/>
        <v>1956.9998303200255</v>
      </c>
    </row>
    <row r="101" spans="1:22" x14ac:dyDescent="0.3">
      <c r="A101" s="3" t="s">
        <v>18</v>
      </c>
      <c r="B101" s="3">
        <v>3960</v>
      </c>
      <c r="C101" s="3">
        <v>266</v>
      </c>
      <c r="D101" s="3">
        <v>8</v>
      </c>
      <c r="E101" s="3">
        <v>35640</v>
      </c>
      <c r="F101" s="3">
        <v>34850</v>
      </c>
      <c r="G101" s="3">
        <v>208</v>
      </c>
      <c r="H101" s="3">
        <f t="shared" si="4"/>
        <v>4234</v>
      </c>
      <c r="O101" t="s">
        <v>252</v>
      </c>
      <c r="P101" t="s">
        <v>38</v>
      </c>
      <c r="Q101">
        <v>1765</v>
      </c>
      <c r="R101">
        <v>109</v>
      </c>
      <c r="S101">
        <v>468301</v>
      </c>
      <c r="T101">
        <v>1.82</v>
      </c>
      <c r="U101">
        <v>20042</v>
      </c>
      <c r="V101">
        <f t="shared" si="5"/>
        <v>1764.9997672437171</v>
      </c>
    </row>
    <row r="102" spans="1:22" x14ac:dyDescent="0.3">
      <c r="A102" s="3" t="s">
        <v>38</v>
      </c>
      <c r="B102" s="3">
        <v>456</v>
      </c>
      <c r="C102" s="3">
        <v>629</v>
      </c>
      <c r="D102" s="3">
        <v>428</v>
      </c>
      <c r="E102" s="3">
        <v>8208</v>
      </c>
      <c r="F102" s="3">
        <v>7377</v>
      </c>
      <c r="G102" s="3">
        <v>205</v>
      </c>
      <c r="H102" s="3">
        <f t="shared" si="4"/>
        <v>1513</v>
      </c>
      <c r="O102" t="s">
        <v>351</v>
      </c>
      <c r="P102" t="s">
        <v>23</v>
      </c>
      <c r="Q102">
        <v>584</v>
      </c>
      <c r="R102">
        <v>169</v>
      </c>
      <c r="S102">
        <v>146834</v>
      </c>
      <c r="T102">
        <v>8.31</v>
      </c>
      <c r="U102">
        <v>26752</v>
      </c>
      <c r="V102">
        <f t="shared" si="5"/>
        <v>583.99884904041301</v>
      </c>
    </row>
    <row r="103" spans="1:22" x14ac:dyDescent="0.3">
      <c r="A103" s="3" t="s">
        <v>23</v>
      </c>
      <c r="B103" s="3">
        <v>3791</v>
      </c>
      <c r="C103" s="3">
        <v>593</v>
      </c>
      <c r="D103" s="3">
        <v>228</v>
      </c>
      <c r="E103" s="3">
        <v>53074</v>
      </c>
      <c r="F103" s="3">
        <v>52613</v>
      </c>
      <c r="G103" s="3">
        <v>205</v>
      </c>
      <c r="H103" s="3">
        <f t="shared" si="4"/>
        <v>4612</v>
      </c>
      <c r="O103" t="s">
        <v>271</v>
      </c>
      <c r="P103" t="s">
        <v>23</v>
      </c>
      <c r="Q103">
        <v>436</v>
      </c>
      <c r="R103">
        <v>250</v>
      </c>
      <c r="S103">
        <v>254347</v>
      </c>
      <c r="T103">
        <v>4.01</v>
      </c>
      <c r="U103">
        <v>8912</v>
      </c>
      <c r="V103">
        <f t="shared" si="5"/>
        <v>435.99901709082474</v>
      </c>
    </row>
    <row r="104" spans="1:22" x14ac:dyDescent="0.3">
      <c r="A104" s="3" t="s">
        <v>13</v>
      </c>
      <c r="B104" s="3">
        <v>2795</v>
      </c>
      <c r="C104" s="3">
        <v>105</v>
      </c>
      <c r="D104" s="3">
        <v>49</v>
      </c>
      <c r="E104" s="3">
        <v>53105</v>
      </c>
      <c r="F104" s="3">
        <v>52307</v>
      </c>
      <c r="G104" s="3">
        <v>204</v>
      </c>
      <c r="H104" s="3">
        <f t="shared" si="4"/>
        <v>2949</v>
      </c>
      <c r="O104" t="s">
        <v>206</v>
      </c>
      <c r="P104" t="s">
        <v>23</v>
      </c>
      <c r="Q104">
        <v>1335</v>
      </c>
      <c r="R104">
        <v>40</v>
      </c>
      <c r="S104">
        <v>122732</v>
      </c>
      <c r="T104">
        <v>8.19</v>
      </c>
      <c r="U104">
        <v>22482</v>
      </c>
      <c r="V104">
        <f t="shared" si="5"/>
        <v>1334.9996740866277</v>
      </c>
    </row>
    <row r="105" spans="1:22" x14ac:dyDescent="0.3">
      <c r="A105" s="3" t="s">
        <v>23</v>
      </c>
      <c r="B105" s="3">
        <v>249</v>
      </c>
      <c r="C105" s="3">
        <v>592</v>
      </c>
      <c r="D105" s="3">
        <v>230</v>
      </c>
      <c r="E105" s="3">
        <v>1494</v>
      </c>
      <c r="F105" s="3">
        <v>1044</v>
      </c>
      <c r="G105" s="3">
        <v>201</v>
      </c>
      <c r="H105" s="3">
        <f t="shared" si="4"/>
        <v>1071</v>
      </c>
      <c r="O105" t="s">
        <v>122</v>
      </c>
      <c r="P105" t="s">
        <v>23</v>
      </c>
      <c r="Q105">
        <v>1238</v>
      </c>
      <c r="R105">
        <v>403</v>
      </c>
      <c r="S105">
        <v>298421</v>
      </c>
      <c r="T105">
        <v>3.5</v>
      </c>
      <c r="U105">
        <v>31280</v>
      </c>
      <c r="V105">
        <f t="shared" si="5"/>
        <v>1237.9986495588448</v>
      </c>
    </row>
    <row r="106" spans="1:22" x14ac:dyDescent="0.3">
      <c r="A106" s="3" t="s">
        <v>13</v>
      </c>
      <c r="B106" s="3">
        <v>3065</v>
      </c>
      <c r="C106" s="3">
        <v>772</v>
      </c>
      <c r="D106" s="3">
        <v>142</v>
      </c>
      <c r="E106" s="3">
        <v>18390</v>
      </c>
      <c r="F106" s="3">
        <v>17875</v>
      </c>
      <c r="G106" s="3">
        <v>200</v>
      </c>
      <c r="H106" s="3">
        <f t="shared" si="4"/>
        <v>3979</v>
      </c>
      <c r="O106" t="s">
        <v>376</v>
      </c>
      <c r="P106" t="s">
        <v>23</v>
      </c>
      <c r="Q106">
        <v>1420</v>
      </c>
      <c r="R106">
        <v>63</v>
      </c>
      <c r="S106">
        <v>315305</v>
      </c>
      <c r="T106">
        <v>6.19</v>
      </c>
      <c r="U106">
        <v>5914</v>
      </c>
      <c r="V106">
        <f t="shared" si="5"/>
        <v>1419.9998001934634</v>
      </c>
    </row>
    <row r="107" spans="1:22" x14ac:dyDescent="0.3">
      <c r="A107" s="3" t="s">
        <v>38</v>
      </c>
      <c r="B107" s="3">
        <v>725</v>
      </c>
      <c r="C107" s="3">
        <v>88</v>
      </c>
      <c r="D107" s="3">
        <v>428</v>
      </c>
      <c r="E107" s="3">
        <v>14500</v>
      </c>
      <c r="F107" s="3">
        <v>13637</v>
      </c>
      <c r="G107" s="3">
        <v>200</v>
      </c>
      <c r="H107" s="3">
        <f t="shared" si="4"/>
        <v>1241</v>
      </c>
      <c r="O107" t="s">
        <v>390</v>
      </c>
      <c r="P107" t="s">
        <v>23</v>
      </c>
      <c r="Q107">
        <v>987</v>
      </c>
      <c r="R107">
        <v>440</v>
      </c>
      <c r="S107">
        <v>389810</v>
      </c>
      <c r="T107">
        <v>4.66</v>
      </c>
      <c r="U107">
        <v>2932</v>
      </c>
      <c r="V107">
        <f t="shared" si="5"/>
        <v>986.99887124496547</v>
      </c>
    </row>
    <row r="108" spans="1:22" x14ac:dyDescent="0.3">
      <c r="A108" s="3" t="s">
        <v>13</v>
      </c>
      <c r="B108" s="3">
        <v>3655</v>
      </c>
      <c r="C108" s="3">
        <v>568</v>
      </c>
      <c r="D108" s="3">
        <v>286</v>
      </c>
      <c r="E108" s="3">
        <v>32895</v>
      </c>
      <c r="F108" s="3">
        <v>32015</v>
      </c>
      <c r="G108" s="3">
        <v>199</v>
      </c>
      <c r="H108" s="3">
        <f t="shared" si="4"/>
        <v>4509</v>
      </c>
      <c r="O108" t="s">
        <v>222</v>
      </c>
      <c r="P108" t="s">
        <v>23</v>
      </c>
      <c r="Q108">
        <v>704</v>
      </c>
      <c r="R108">
        <v>275</v>
      </c>
      <c r="S108">
        <v>226002</v>
      </c>
      <c r="T108">
        <v>8.56</v>
      </c>
      <c r="U108">
        <v>32393</v>
      </c>
      <c r="V108">
        <f t="shared" si="5"/>
        <v>703.99878319660888</v>
      </c>
    </row>
    <row r="109" spans="1:22" x14ac:dyDescent="0.3">
      <c r="A109" s="3" t="s">
        <v>38</v>
      </c>
      <c r="B109" s="3">
        <v>2234</v>
      </c>
      <c r="C109" s="3">
        <v>653</v>
      </c>
      <c r="D109" s="3">
        <v>432</v>
      </c>
      <c r="E109" s="3">
        <v>11170</v>
      </c>
      <c r="F109" s="3">
        <v>10569</v>
      </c>
      <c r="G109" s="3">
        <v>198</v>
      </c>
      <c r="H109" s="3">
        <f t="shared" si="4"/>
        <v>3319</v>
      </c>
      <c r="O109" t="s">
        <v>391</v>
      </c>
      <c r="P109" t="s">
        <v>23</v>
      </c>
      <c r="Q109">
        <v>1701</v>
      </c>
      <c r="R109">
        <v>385</v>
      </c>
      <c r="S109">
        <v>198278</v>
      </c>
      <c r="T109">
        <v>5.34</v>
      </c>
      <c r="U109">
        <v>32763</v>
      </c>
      <c r="V109">
        <f t="shared" si="5"/>
        <v>1700.9980582818064</v>
      </c>
    </row>
    <row r="110" spans="1:22" x14ac:dyDescent="0.3">
      <c r="A110" s="3" t="s">
        <v>23</v>
      </c>
      <c r="B110" s="3">
        <v>1436</v>
      </c>
      <c r="C110" s="3">
        <v>765</v>
      </c>
      <c r="D110" s="3">
        <v>496</v>
      </c>
      <c r="E110" s="3">
        <v>12924</v>
      </c>
      <c r="F110" s="3">
        <v>12701</v>
      </c>
      <c r="G110" s="3">
        <v>197</v>
      </c>
      <c r="H110" s="3">
        <f t="shared" si="4"/>
        <v>2697</v>
      </c>
      <c r="O110" t="s">
        <v>56</v>
      </c>
      <c r="P110" t="s">
        <v>23</v>
      </c>
      <c r="Q110">
        <v>1756</v>
      </c>
      <c r="R110">
        <v>261</v>
      </c>
      <c r="S110">
        <v>287574</v>
      </c>
      <c r="T110">
        <v>4.3600000000000003</v>
      </c>
      <c r="U110">
        <v>39272</v>
      </c>
      <c r="V110">
        <f t="shared" si="5"/>
        <v>1755.9990924075194</v>
      </c>
    </row>
    <row r="111" spans="1:22" x14ac:dyDescent="0.3">
      <c r="A111" s="3" t="s">
        <v>38</v>
      </c>
      <c r="B111" s="3">
        <v>3575</v>
      </c>
      <c r="C111" s="3">
        <v>749</v>
      </c>
      <c r="D111" s="3">
        <v>111</v>
      </c>
      <c r="E111" s="3">
        <v>21450</v>
      </c>
      <c r="F111" s="3">
        <v>20785</v>
      </c>
      <c r="G111" s="3">
        <v>195</v>
      </c>
      <c r="H111" s="3">
        <f t="shared" si="4"/>
        <v>4435</v>
      </c>
      <c r="O111" t="s">
        <v>325</v>
      </c>
      <c r="P111" t="s">
        <v>23</v>
      </c>
      <c r="Q111">
        <v>826</v>
      </c>
      <c r="R111">
        <v>498</v>
      </c>
      <c r="S111">
        <v>449994</v>
      </c>
      <c r="T111">
        <v>9.43</v>
      </c>
      <c r="U111">
        <v>12384</v>
      </c>
      <c r="V111">
        <f t="shared" si="5"/>
        <v>825.99889331857753</v>
      </c>
    </row>
    <row r="112" spans="1:22" x14ac:dyDescent="0.3">
      <c r="A112" s="3" t="s">
        <v>13</v>
      </c>
      <c r="B112" s="3">
        <v>4350</v>
      </c>
      <c r="C112" s="3">
        <v>771</v>
      </c>
      <c r="D112" s="3">
        <v>7</v>
      </c>
      <c r="E112" s="3">
        <v>60900</v>
      </c>
      <c r="F112" s="3">
        <v>60592</v>
      </c>
      <c r="G112" s="3">
        <v>195</v>
      </c>
      <c r="H112" s="3">
        <f t="shared" si="4"/>
        <v>5128</v>
      </c>
      <c r="O112" t="s">
        <v>248</v>
      </c>
      <c r="P112" t="s">
        <v>23</v>
      </c>
      <c r="Q112">
        <v>485</v>
      </c>
      <c r="R112">
        <v>448</v>
      </c>
      <c r="S112">
        <v>434883</v>
      </c>
      <c r="T112">
        <v>8.5500000000000007</v>
      </c>
      <c r="U112">
        <v>33258</v>
      </c>
      <c r="V112">
        <f t="shared" si="5"/>
        <v>484.99896983786442</v>
      </c>
    </row>
    <row r="113" spans="1:22" x14ac:dyDescent="0.3">
      <c r="A113" s="3" t="s">
        <v>38</v>
      </c>
      <c r="B113" s="3">
        <v>4808</v>
      </c>
      <c r="C113" s="3">
        <v>772</v>
      </c>
      <c r="D113" s="3">
        <v>320</v>
      </c>
      <c r="E113" s="3">
        <v>72120</v>
      </c>
      <c r="F113" s="3">
        <v>71696</v>
      </c>
      <c r="G113" s="3">
        <v>195</v>
      </c>
      <c r="H113" s="3">
        <f t="shared" si="4"/>
        <v>5900</v>
      </c>
      <c r="O113" t="s">
        <v>178</v>
      </c>
      <c r="P113" t="s">
        <v>23</v>
      </c>
      <c r="Q113">
        <v>1751</v>
      </c>
      <c r="R113">
        <v>86</v>
      </c>
      <c r="S113">
        <v>188655</v>
      </c>
      <c r="T113">
        <v>7.24</v>
      </c>
      <c r="U113">
        <v>22206</v>
      </c>
      <c r="V113">
        <f t="shared" si="5"/>
        <v>1750.9995441414221</v>
      </c>
    </row>
    <row r="114" spans="1:22" x14ac:dyDescent="0.3">
      <c r="A114" s="3" t="s">
        <v>18</v>
      </c>
      <c r="B114" s="3">
        <v>1257</v>
      </c>
      <c r="C114" s="3">
        <v>19</v>
      </c>
      <c r="D114" s="3">
        <v>351</v>
      </c>
      <c r="E114" s="3">
        <v>12570</v>
      </c>
      <c r="F114" s="3">
        <v>11660</v>
      </c>
      <c r="G114" s="3">
        <v>194</v>
      </c>
      <c r="H114" s="3">
        <f t="shared" si="4"/>
        <v>1627</v>
      </c>
      <c r="O114" t="s">
        <v>97</v>
      </c>
      <c r="P114" t="s">
        <v>23</v>
      </c>
      <c r="Q114">
        <v>1300</v>
      </c>
      <c r="R114">
        <v>71</v>
      </c>
      <c r="S114">
        <v>186454</v>
      </c>
      <c r="T114">
        <v>3.91</v>
      </c>
      <c r="U114">
        <v>9942</v>
      </c>
      <c r="V114">
        <f t="shared" si="5"/>
        <v>1299.9996192090275</v>
      </c>
    </row>
    <row r="115" spans="1:22" x14ac:dyDescent="0.3">
      <c r="A115" s="3" t="s">
        <v>18</v>
      </c>
      <c r="B115" s="3">
        <v>3360</v>
      </c>
      <c r="C115" s="3">
        <v>525</v>
      </c>
      <c r="D115" s="3">
        <v>500</v>
      </c>
      <c r="E115" s="3">
        <v>60480</v>
      </c>
      <c r="F115" s="3">
        <v>59610</v>
      </c>
      <c r="G115" s="3">
        <v>192</v>
      </c>
      <c r="H115" s="3">
        <f t="shared" si="4"/>
        <v>4385</v>
      </c>
      <c r="O115" t="s">
        <v>363</v>
      </c>
      <c r="P115" t="s">
        <v>23</v>
      </c>
      <c r="Q115">
        <v>557</v>
      </c>
      <c r="R115">
        <v>360</v>
      </c>
      <c r="S115">
        <v>318779</v>
      </c>
      <c r="T115">
        <v>8.02</v>
      </c>
      <c r="U115">
        <v>25797</v>
      </c>
      <c r="V115">
        <f t="shared" si="5"/>
        <v>556.99887069098031</v>
      </c>
    </row>
    <row r="116" spans="1:22" x14ac:dyDescent="0.3">
      <c r="A116" s="3" t="s">
        <v>38</v>
      </c>
      <c r="B116" s="3">
        <v>2107</v>
      </c>
      <c r="C116" s="3">
        <v>550</v>
      </c>
      <c r="D116" s="3">
        <v>349</v>
      </c>
      <c r="E116" s="3">
        <v>35819</v>
      </c>
      <c r="F116" s="3">
        <v>35340</v>
      </c>
      <c r="G116" s="3">
        <v>191</v>
      </c>
      <c r="H116" s="3">
        <f t="shared" si="4"/>
        <v>3006</v>
      </c>
      <c r="O116" t="s">
        <v>285</v>
      </c>
      <c r="P116" t="s">
        <v>23</v>
      </c>
      <c r="Q116">
        <v>751</v>
      </c>
      <c r="R116">
        <v>491</v>
      </c>
      <c r="S116">
        <v>434047</v>
      </c>
      <c r="T116">
        <v>9.24</v>
      </c>
      <c r="U116">
        <v>15476</v>
      </c>
      <c r="V116">
        <f t="shared" si="5"/>
        <v>750.99886878609925</v>
      </c>
    </row>
    <row r="117" spans="1:22" x14ac:dyDescent="0.3">
      <c r="A117" s="3" t="s">
        <v>23</v>
      </c>
      <c r="B117" s="3">
        <v>4494</v>
      </c>
      <c r="C117" s="3">
        <v>717</v>
      </c>
      <c r="D117" s="3">
        <v>45</v>
      </c>
      <c r="E117" s="3">
        <v>62916</v>
      </c>
      <c r="F117" s="3">
        <v>62688</v>
      </c>
      <c r="G117" s="3">
        <v>191</v>
      </c>
      <c r="H117" s="3">
        <f t="shared" si="4"/>
        <v>5256</v>
      </c>
      <c r="O117" t="s">
        <v>392</v>
      </c>
      <c r="P117" t="s">
        <v>23</v>
      </c>
      <c r="Q117">
        <v>1472</v>
      </c>
      <c r="R117">
        <v>347</v>
      </c>
      <c r="S117">
        <v>392355</v>
      </c>
      <c r="T117">
        <v>8.59</v>
      </c>
      <c r="U117">
        <v>30270</v>
      </c>
      <c r="V117">
        <f t="shared" si="5"/>
        <v>1471.9991155968446</v>
      </c>
    </row>
    <row r="118" spans="1:22" x14ac:dyDescent="0.3">
      <c r="A118" s="3" t="s">
        <v>38</v>
      </c>
      <c r="B118" s="3">
        <v>1377</v>
      </c>
      <c r="C118" s="3">
        <v>796</v>
      </c>
      <c r="D118" s="3">
        <v>387</v>
      </c>
      <c r="E118" s="3">
        <v>22032</v>
      </c>
      <c r="F118" s="3">
        <v>21869</v>
      </c>
      <c r="G118" s="3">
        <v>189</v>
      </c>
      <c r="H118" s="3">
        <f t="shared" si="4"/>
        <v>2560</v>
      </c>
      <c r="O118" t="s">
        <v>393</v>
      </c>
      <c r="P118" t="s">
        <v>23</v>
      </c>
      <c r="Q118">
        <v>1911</v>
      </c>
      <c r="R118">
        <v>231</v>
      </c>
      <c r="S118">
        <v>268516</v>
      </c>
      <c r="T118">
        <v>8.5500000000000007</v>
      </c>
      <c r="U118">
        <v>24018</v>
      </c>
      <c r="V118">
        <f t="shared" si="5"/>
        <v>1910.9991397160691</v>
      </c>
    </row>
    <row r="119" spans="1:22" x14ac:dyDescent="0.3">
      <c r="A119" s="3" t="s">
        <v>13</v>
      </c>
      <c r="B119" s="3">
        <v>4775</v>
      </c>
      <c r="C119" s="3">
        <v>173</v>
      </c>
      <c r="D119" s="3">
        <v>206</v>
      </c>
      <c r="E119" s="3">
        <v>47750</v>
      </c>
      <c r="F119" s="3">
        <v>47544</v>
      </c>
      <c r="G119" s="3">
        <v>187</v>
      </c>
      <c r="H119" s="3">
        <f t="shared" si="4"/>
        <v>5154</v>
      </c>
      <c r="O119" t="s">
        <v>394</v>
      </c>
      <c r="P119" t="s">
        <v>23</v>
      </c>
      <c r="Q119">
        <v>752</v>
      </c>
      <c r="R119">
        <v>153</v>
      </c>
      <c r="S119">
        <v>64906</v>
      </c>
      <c r="T119">
        <v>2.09</v>
      </c>
      <c r="U119">
        <v>12148</v>
      </c>
      <c r="V119">
        <f t="shared" si="5"/>
        <v>751.99764274489257</v>
      </c>
    </row>
    <row r="120" spans="1:22" x14ac:dyDescent="0.3">
      <c r="A120" s="3" t="s">
        <v>38</v>
      </c>
      <c r="B120" s="3">
        <v>1947</v>
      </c>
      <c r="C120" s="3">
        <v>842</v>
      </c>
      <c r="D120" s="3">
        <v>101</v>
      </c>
      <c r="E120" s="3">
        <v>21417</v>
      </c>
      <c r="F120" s="3">
        <v>20967</v>
      </c>
      <c r="G120" s="3">
        <v>186</v>
      </c>
      <c r="H120" s="3">
        <f t="shared" si="4"/>
        <v>2890</v>
      </c>
      <c r="O120" t="s">
        <v>395</v>
      </c>
      <c r="P120" t="s">
        <v>23</v>
      </c>
      <c r="Q120">
        <v>437</v>
      </c>
      <c r="R120">
        <v>330</v>
      </c>
      <c r="S120">
        <v>476486</v>
      </c>
      <c r="T120">
        <v>4.97</v>
      </c>
      <c r="U120">
        <v>4509</v>
      </c>
      <c r="V120">
        <f t="shared" si="5"/>
        <v>436.99930742980905</v>
      </c>
    </row>
    <row r="121" spans="1:22" x14ac:dyDescent="0.3">
      <c r="A121" s="3" t="s">
        <v>38</v>
      </c>
      <c r="B121" s="3">
        <v>498</v>
      </c>
      <c r="C121" s="3">
        <v>701</v>
      </c>
      <c r="D121" s="3">
        <v>412</v>
      </c>
      <c r="E121" s="3">
        <v>4980</v>
      </c>
      <c r="F121" s="3">
        <v>4185</v>
      </c>
      <c r="G121" s="3">
        <v>185</v>
      </c>
      <c r="H121" s="3">
        <f t="shared" si="4"/>
        <v>1611</v>
      </c>
      <c r="O121" t="s">
        <v>396</v>
      </c>
      <c r="P121" t="s">
        <v>23</v>
      </c>
      <c r="Q121">
        <v>201</v>
      </c>
      <c r="R121">
        <v>221</v>
      </c>
      <c r="S121">
        <v>309772</v>
      </c>
      <c r="T121">
        <v>5.9</v>
      </c>
      <c r="U121">
        <v>33174</v>
      </c>
      <c r="V121">
        <f t="shared" si="5"/>
        <v>200.99928657205945</v>
      </c>
    </row>
    <row r="122" spans="1:22" x14ac:dyDescent="0.3">
      <c r="A122" s="3" t="s">
        <v>23</v>
      </c>
      <c r="B122" s="3">
        <v>432</v>
      </c>
      <c r="C122" s="3">
        <v>171</v>
      </c>
      <c r="D122" s="3">
        <v>280</v>
      </c>
      <c r="E122" s="3">
        <v>3024</v>
      </c>
      <c r="F122" s="3">
        <v>2285</v>
      </c>
      <c r="G122" s="3">
        <v>184</v>
      </c>
      <c r="H122" s="3">
        <f t="shared" si="4"/>
        <v>883</v>
      </c>
      <c r="O122" t="s">
        <v>159</v>
      </c>
      <c r="P122" t="s">
        <v>23</v>
      </c>
      <c r="Q122">
        <v>697</v>
      </c>
      <c r="R122">
        <v>61</v>
      </c>
      <c r="S122">
        <v>258287</v>
      </c>
      <c r="T122">
        <v>8.25</v>
      </c>
      <c r="U122">
        <v>21208</v>
      </c>
      <c r="V122">
        <f t="shared" si="5"/>
        <v>696.99976382860928</v>
      </c>
    </row>
    <row r="123" spans="1:22" x14ac:dyDescent="0.3">
      <c r="A123" s="3" t="s">
        <v>18</v>
      </c>
      <c r="B123" s="3">
        <v>2418</v>
      </c>
      <c r="C123" s="3">
        <v>754</v>
      </c>
      <c r="D123" s="3">
        <v>54</v>
      </c>
      <c r="E123" s="3">
        <v>43524</v>
      </c>
      <c r="F123" s="3">
        <v>42743</v>
      </c>
      <c r="G123" s="3">
        <v>182</v>
      </c>
      <c r="H123" s="3">
        <f t="shared" si="4"/>
        <v>3226</v>
      </c>
      <c r="O123" t="s">
        <v>72</v>
      </c>
      <c r="P123" t="s">
        <v>23</v>
      </c>
      <c r="Q123">
        <v>191</v>
      </c>
      <c r="R123">
        <v>154</v>
      </c>
      <c r="S123">
        <v>240550</v>
      </c>
      <c r="T123">
        <v>5.22</v>
      </c>
      <c r="U123">
        <v>15827</v>
      </c>
      <c r="V123">
        <f t="shared" si="5"/>
        <v>190.99935980045728</v>
      </c>
    </row>
    <row r="124" spans="1:22" x14ac:dyDescent="0.3">
      <c r="A124" s="3" t="s">
        <v>13</v>
      </c>
      <c r="B124" s="3">
        <v>4832</v>
      </c>
      <c r="C124" s="3">
        <v>893</v>
      </c>
      <c r="D124" s="3">
        <v>10</v>
      </c>
      <c r="E124" s="3">
        <v>91808</v>
      </c>
      <c r="F124" s="3">
        <v>91296</v>
      </c>
      <c r="G124" s="3">
        <v>182</v>
      </c>
      <c r="H124" s="3">
        <f t="shared" si="4"/>
        <v>5735</v>
      </c>
      <c r="O124" t="s">
        <v>333</v>
      </c>
      <c r="P124" t="s">
        <v>23</v>
      </c>
      <c r="Q124">
        <v>1821</v>
      </c>
      <c r="R124">
        <v>218</v>
      </c>
      <c r="S124">
        <v>439080</v>
      </c>
      <c r="T124">
        <v>5.68</v>
      </c>
      <c r="U124">
        <v>36095</v>
      </c>
      <c r="V124">
        <f t="shared" si="5"/>
        <v>1820.9995035073334</v>
      </c>
    </row>
    <row r="125" spans="1:22" x14ac:dyDescent="0.3">
      <c r="A125" s="3" t="s">
        <v>23</v>
      </c>
      <c r="B125" s="3">
        <v>2214</v>
      </c>
      <c r="C125" s="3">
        <v>249</v>
      </c>
      <c r="D125" s="3">
        <v>152</v>
      </c>
      <c r="E125" s="3">
        <v>15498</v>
      </c>
      <c r="F125" s="3">
        <v>14800</v>
      </c>
      <c r="G125" s="3">
        <v>180</v>
      </c>
      <c r="H125" s="3">
        <f t="shared" si="4"/>
        <v>2615</v>
      </c>
      <c r="O125" t="s">
        <v>397</v>
      </c>
      <c r="P125" t="s">
        <v>23</v>
      </c>
      <c r="Q125">
        <v>1487</v>
      </c>
      <c r="R125">
        <v>337</v>
      </c>
      <c r="S125">
        <v>87305</v>
      </c>
      <c r="T125">
        <v>2.46</v>
      </c>
      <c r="U125">
        <v>30428</v>
      </c>
      <c r="V125">
        <f t="shared" si="5"/>
        <v>1486.996139969074</v>
      </c>
    </row>
    <row r="126" spans="1:22" x14ac:dyDescent="0.3">
      <c r="A126" s="3" t="s">
        <v>18</v>
      </c>
      <c r="B126" s="3">
        <v>4134</v>
      </c>
      <c r="C126" s="3">
        <v>824</v>
      </c>
      <c r="D126" s="3">
        <v>99</v>
      </c>
      <c r="E126" s="3">
        <v>41340</v>
      </c>
      <c r="F126" s="3">
        <v>41050</v>
      </c>
      <c r="G126" s="3">
        <v>177</v>
      </c>
      <c r="H126" s="3">
        <f t="shared" si="4"/>
        <v>5057</v>
      </c>
      <c r="O126" t="s">
        <v>188</v>
      </c>
      <c r="P126" t="s">
        <v>23</v>
      </c>
      <c r="Q126">
        <v>628</v>
      </c>
      <c r="R126">
        <v>183</v>
      </c>
      <c r="S126">
        <v>487523</v>
      </c>
      <c r="T126">
        <v>7.32</v>
      </c>
      <c r="U126">
        <v>5391</v>
      </c>
      <c r="V126">
        <f t="shared" si="5"/>
        <v>627.99962463309419</v>
      </c>
    </row>
    <row r="127" spans="1:22" x14ac:dyDescent="0.3">
      <c r="A127" s="3" t="s">
        <v>23</v>
      </c>
      <c r="B127" s="3">
        <v>2164</v>
      </c>
      <c r="C127" s="3">
        <v>549</v>
      </c>
      <c r="D127" s="3">
        <v>274</v>
      </c>
      <c r="E127" s="3">
        <v>28132</v>
      </c>
      <c r="F127" s="3">
        <v>27361</v>
      </c>
      <c r="G127" s="3">
        <v>177</v>
      </c>
      <c r="H127" s="3">
        <f t="shared" si="4"/>
        <v>2987</v>
      </c>
      <c r="O127" t="s">
        <v>105</v>
      </c>
      <c r="P127" t="s">
        <v>23</v>
      </c>
      <c r="Q127">
        <v>330</v>
      </c>
      <c r="R127">
        <v>232</v>
      </c>
      <c r="S127">
        <v>88455</v>
      </c>
      <c r="T127">
        <v>2.69</v>
      </c>
      <c r="U127">
        <v>39530</v>
      </c>
      <c r="V127">
        <f t="shared" si="5"/>
        <v>329.99737719744502</v>
      </c>
    </row>
    <row r="128" spans="1:22" x14ac:dyDescent="0.3">
      <c r="A128" s="3" t="s">
        <v>38</v>
      </c>
      <c r="B128" s="3">
        <v>4133</v>
      </c>
      <c r="C128" s="3">
        <v>466</v>
      </c>
      <c r="D128" s="3">
        <v>327</v>
      </c>
      <c r="E128" s="3">
        <v>24798</v>
      </c>
      <c r="F128" s="3">
        <v>24620</v>
      </c>
      <c r="G128" s="3">
        <v>176</v>
      </c>
      <c r="H128" s="3">
        <f t="shared" si="4"/>
        <v>4926</v>
      </c>
      <c r="O128" t="s">
        <v>398</v>
      </c>
      <c r="P128" t="s">
        <v>23</v>
      </c>
      <c r="Q128">
        <v>1441</v>
      </c>
      <c r="R128">
        <v>268</v>
      </c>
      <c r="S128">
        <v>309904</v>
      </c>
      <c r="T128">
        <v>6.37</v>
      </c>
      <c r="U128">
        <v>3455</v>
      </c>
      <c r="V128">
        <f t="shared" si="5"/>
        <v>1440.9991352160669</v>
      </c>
    </row>
    <row r="129" spans="1:22" x14ac:dyDescent="0.3">
      <c r="A129" s="3" t="s">
        <v>18</v>
      </c>
      <c r="B129" s="3">
        <v>3371</v>
      </c>
      <c r="C129" s="3">
        <v>106</v>
      </c>
      <c r="D129" s="3">
        <v>327</v>
      </c>
      <c r="E129" s="3">
        <v>50565</v>
      </c>
      <c r="F129" s="3">
        <v>49816</v>
      </c>
      <c r="G129" s="3">
        <v>176</v>
      </c>
      <c r="H129" s="3">
        <f t="shared" si="4"/>
        <v>3804</v>
      </c>
      <c r="O129" t="s">
        <v>281</v>
      </c>
      <c r="P129" t="s">
        <v>23</v>
      </c>
      <c r="Q129">
        <v>1937</v>
      </c>
      <c r="R129">
        <v>210</v>
      </c>
      <c r="S129">
        <v>20607</v>
      </c>
      <c r="T129">
        <v>4.2</v>
      </c>
      <c r="U129">
        <v>20861</v>
      </c>
      <c r="V129">
        <f t="shared" si="5"/>
        <v>1936.989809288106</v>
      </c>
    </row>
    <row r="130" spans="1:22" x14ac:dyDescent="0.3">
      <c r="A130" s="3" t="s">
        <v>13</v>
      </c>
      <c r="B130" s="3">
        <v>4021</v>
      </c>
      <c r="C130" s="3">
        <v>794</v>
      </c>
      <c r="D130" s="3">
        <v>77</v>
      </c>
      <c r="E130" s="3">
        <v>36189</v>
      </c>
      <c r="F130" s="3">
        <v>35505</v>
      </c>
      <c r="G130" s="3">
        <v>174</v>
      </c>
      <c r="H130" s="3">
        <f t="shared" si="4"/>
        <v>4892</v>
      </c>
      <c r="O130" t="s">
        <v>213</v>
      </c>
      <c r="P130" t="s">
        <v>23</v>
      </c>
      <c r="Q130">
        <v>1592</v>
      </c>
      <c r="R130">
        <v>233</v>
      </c>
      <c r="S130">
        <v>327183</v>
      </c>
      <c r="T130">
        <v>6.66</v>
      </c>
      <c r="U130">
        <v>13316</v>
      </c>
      <c r="V130">
        <f t="shared" ref="V130:V161" si="6">Q130-R130/S130</f>
        <v>1591.9992878603107</v>
      </c>
    </row>
    <row r="131" spans="1:22" x14ac:dyDescent="0.3">
      <c r="A131" s="3" t="s">
        <v>38</v>
      </c>
      <c r="B131" s="3">
        <v>2180</v>
      </c>
      <c r="C131" s="3">
        <v>263</v>
      </c>
      <c r="D131" s="3">
        <v>387</v>
      </c>
      <c r="E131" s="3">
        <v>30520</v>
      </c>
      <c r="F131" s="3">
        <v>30059</v>
      </c>
      <c r="G131" s="3">
        <v>174</v>
      </c>
      <c r="H131" s="3">
        <f t="shared" ref="H131:H194" si="7">SUM(B131:D131)</f>
        <v>2830</v>
      </c>
      <c r="O131" t="s">
        <v>135</v>
      </c>
      <c r="P131" t="s">
        <v>23</v>
      </c>
      <c r="Q131">
        <v>1137</v>
      </c>
      <c r="R131">
        <v>226</v>
      </c>
      <c r="S131">
        <v>81119</v>
      </c>
      <c r="T131">
        <v>7.74</v>
      </c>
      <c r="U131">
        <v>35359</v>
      </c>
      <c r="V131">
        <f t="shared" si="6"/>
        <v>1136.9972139696001</v>
      </c>
    </row>
    <row r="132" spans="1:22" x14ac:dyDescent="0.3">
      <c r="A132" s="3" t="s">
        <v>18</v>
      </c>
      <c r="B132" s="3">
        <v>4689</v>
      </c>
      <c r="C132" s="3">
        <v>134</v>
      </c>
      <c r="D132" s="3">
        <v>403</v>
      </c>
      <c r="E132" s="3">
        <v>51579</v>
      </c>
      <c r="F132" s="3">
        <v>50924</v>
      </c>
      <c r="G132" s="3">
        <v>173</v>
      </c>
      <c r="H132" s="3">
        <f t="shared" si="7"/>
        <v>5226</v>
      </c>
      <c r="O132" t="s">
        <v>399</v>
      </c>
      <c r="P132" t="s">
        <v>23</v>
      </c>
      <c r="Q132">
        <v>1786</v>
      </c>
      <c r="R132">
        <v>257</v>
      </c>
      <c r="S132">
        <v>274831</v>
      </c>
      <c r="T132">
        <v>4.68</v>
      </c>
      <c r="U132">
        <v>9118</v>
      </c>
      <c r="V132">
        <f t="shared" si="6"/>
        <v>1785.9990648798716</v>
      </c>
    </row>
    <row r="133" spans="1:22" x14ac:dyDescent="0.3">
      <c r="A133" s="3" t="s">
        <v>13</v>
      </c>
      <c r="B133" s="3">
        <v>4171</v>
      </c>
      <c r="C133" s="3">
        <v>548</v>
      </c>
      <c r="D133" s="3">
        <v>86</v>
      </c>
      <c r="E133" s="3">
        <v>66736</v>
      </c>
      <c r="F133" s="3">
        <v>66634</v>
      </c>
      <c r="G133" s="3">
        <v>173</v>
      </c>
      <c r="H133" s="3">
        <f t="shared" si="7"/>
        <v>4805</v>
      </c>
      <c r="O133" t="s">
        <v>319</v>
      </c>
      <c r="P133" t="s">
        <v>23</v>
      </c>
      <c r="Q133">
        <v>1633</v>
      </c>
      <c r="R133">
        <v>445</v>
      </c>
      <c r="S133">
        <v>371156</v>
      </c>
      <c r="T133">
        <v>2.2200000000000002</v>
      </c>
      <c r="U133">
        <v>2798</v>
      </c>
      <c r="V133">
        <f t="shared" si="6"/>
        <v>1632.9988010432271</v>
      </c>
    </row>
    <row r="134" spans="1:22" x14ac:dyDescent="0.3">
      <c r="A134" s="3" t="s">
        <v>38</v>
      </c>
      <c r="B134" s="3">
        <v>3601</v>
      </c>
      <c r="C134" s="3">
        <v>695</v>
      </c>
      <c r="D134" s="3">
        <v>75</v>
      </c>
      <c r="E134" s="3">
        <v>21606</v>
      </c>
      <c r="F134" s="3">
        <v>21454</v>
      </c>
      <c r="G134" s="3">
        <v>172</v>
      </c>
      <c r="H134" s="3">
        <f t="shared" si="7"/>
        <v>4371</v>
      </c>
      <c r="O134" t="s">
        <v>400</v>
      </c>
      <c r="P134" t="s">
        <v>23</v>
      </c>
      <c r="Q134">
        <v>118</v>
      </c>
      <c r="R134">
        <v>262</v>
      </c>
      <c r="S134">
        <v>487896</v>
      </c>
      <c r="T134">
        <v>2.56</v>
      </c>
      <c r="U134">
        <v>12350</v>
      </c>
      <c r="V134">
        <f t="shared" si="6"/>
        <v>117.99946300031154</v>
      </c>
    </row>
    <row r="135" spans="1:22" x14ac:dyDescent="0.3">
      <c r="A135" s="3" t="s">
        <v>23</v>
      </c>
      <c r="B135" s="3">
        <v>3820</v>
      </c>
      <c r="C135" s="3">
        <v>697</v>
      </c>
      <c r="D135" s="3">
        <v>268</v>
      </c>
      <c r="E135" s="3">
        <v>45840</v>
      </c>
      <c r="F135" s="3">
        <v>45631</v>
      </c>
      <c r="G135" s="3">
        <v>171</v>
      </c>
      <c r="H135" s="3">
        <f t="shared" si="7"/>
        <v>4785</v>
      </c>
      <c r="O135" t="s">
        <v>401</v>
      </c>
      <c r="P135" t="s">
        <v>23</v>
      </c>
      <c r="Q135">
        <v>1040</v>
      </c>
      <c r="R135">
        <v>149</v>
      </c>
      <c r="S135">
        <v>124404</v>
      </c>
      <c r="T135">
        <v>5.23</v>
      </c>
      <c r="U135">
        <v>45380</v>
      </c>
      <c r="V135">
        <f t="shared" si="6"/>
        <v>1039.9988022893156</v>
      </c>
    </row>
    <row r="136" spans="1:22" x14ac:dyDescent="0.3">
      <c r="A136" s="3" t="s">
        <v>23</v>
      </c>
      <c r="B136" s="3">
        <v>2147</v>
      </c>
      <c r="C136" s="3">
        <v>430</v>
      </c>
      <c r="D136" s="3">
        <v>393</v>
      </c>
      <c r="E136" s="3">
        <v>17176</v>
      </c>
      <c r="F136" s="3">
        <v>16483</v>
      </c>
      <c r="G136" s="3">
        <v>170</v>
      </c>
      <c r="H136" s="3">
        <f t="shared" si="7"/>
        <v>2970</v>
      </c>
      <c r="O136" t="s">
        <v>93</v>
      </c>
      <c r="P136" t="s">
        <v>23</v>
      </c>
      <c r="Q136">
        <v>1501</v>
      </c>
      <c r="R136">
        <v>75</v>
      </c>
      <c r="S136">
        <v>262569</v>
      </c>
      <c r="T136">
        <v>2.0099999999999998</v>
      </c>
      <c r="U136">
        <v>19119</v>
      </c>
      <c r="V136">
        <f t="shared" si="6"/>
        <v>1500.9997143607966</v>
      </c>
    </row>
    <row r="137" spans="1:22" x14ac:dyDescent="0.3">
      <c r="A137" s="3" t="s">
        <v>38</v>
      </c>
      <c r="B137" s="3">
        <v>4853</v>
      </c>
      <c r="C137" s="3">
        <v>837</v>
      </c>
      <c r="D137" s="3">
        <v>340</v>
      </c>
      <c r="E137" s="3">
        <v>72795</v>
      </c>
      <c r="F137" s="3">
        <v>72237</v>
      </c>
      <c r="G137" s="3">
        <v>170</v>
      </c>
      <c r="H137" s="3">
        <f t="shared" si="7"/>
        <v>6030</v>
      </c>
      <c r="O137" t="s">
        <v>402</v>
      </c>
      <c r="P137" t="s">
        <v>23</v>
      </c>
      <c r="Q137">
        <v>927</v>
      </c>
      <c r="R137">
        <v>358</v>
      </c>
      <c r="S137">
        <v>177554</v>
      </c>
      <c r="T137">
        <v>6.95</v>
      </c>
      <c r="U137">
        <v>48270</v>
      </c>
      <c r="V137">
        <f t="shared" si="6"/>
        <v>926.99798371199745</v>
      </c>
    </row>
    <row r="138" spans="1:22" x14ac:dyDescent="0.3">
      <c r="A138" s="3" t="s">
        <v>13</v>
      </c>
      <c r="B138" s="3">
        <v>4934</v>
      </c>
      <c r="C138" s="3">
        <v>971</v>
      </c>
      <c r="D138" s="3">
        <v>156</v>
      </c>
      <c r="E138" s="3">
        <v>39472</v>
      </c>
      <c r="F138" s="3">
        <v>39025</v>
      </c>
      <c r="G138" s="3">
        <v>169</v>
      </c>
      <c r="H138" s="3">
        <f t="shared" si="7"/>
        <v>6061</v>
      </c>
      <c r="O138" t="s">
        <v>275</v>
      </c>
      <c r="P138" t="s">
        <v>23</v>
      </c>
      <c r="Q138">
        <v>1587</v>
      </c>
      <c r="R138">
        <v>385</v>
      </c>
      <c r="S138">
        <v>126582</v>
      </c>
      <c r="T138">
        <v>6.99</v>
      </c>
      <c r="U138">
        <v>42832</v>
      </c>
      <c r="V138">
        <f t="shared" si="6"/>
        <v>1586.9969584933087</v>
      </c>
    </row>
    <row r="139" spans="1:22" x14ac:dyDescent="0.3">
      <c r="A139" s="3" t="s">
        <v>23</v>
      </c>
      <c r="B139" s="3">
        <v>2825</v>
      </c>
      <c r="C139" s="3">
        <v>535</v>
      </c>
      <c r="D139" s="3">
        <v>295</v>
      </c>
      <c r="E139" s="3">
        <v>45200</v>
      </c>
      <c r="F139" s="3">
        <v>44739</v>
      </c>
      <c r="G139" s="3">
        <v>169</v>
      </c>
      <c r="H139" s="3">
        <f t="shared" si="7"/>
        <v>3655</v>
      </c>
      <c r="O139" t="s">
        <v>210</v>
      </c>
      <c r="P139" t="s">
        <v>23</v>
      </c>
      <c r="Q139">
        <v>362</v>
      </c>
      <c r="R139">
        <v>399</v>
      </c>
      <c r="S139">
        <v>145608</v>
      </c>
      <c r="T139">
        <v>7.3</v>
      </c>
      <c r="U139">
        <v>37636</v>
      </c>
      <c r="V139">
        <f t="shared" si="6"/>
        <v>361.99725976594692</v>
      </c>
    </row>
    <row r="140" spans="1:22" x14ac:dyDescent="0.3">
      <c r="A140" s="3" t="s">
        <v>23</v>
      </c>
      <c r="B140" s="3">
        <v>3649</v>
      </c>
      <c r="C140" s="3">
        <v>215</v>
      </c>
      <c r="D140" s="3">
        <v>413</v>
      </c>
      <c r="E140" s="3">
        <v>25543</v>
      </c>
      <c r="F140" s="3">
        <v>24963</v>
      </c>
      <c r="G140" s="3">
        <v>167</v>
      </c>
      <c r="H140" s="3">
        <f t="shared" si="7"/>
        <v>4277</v>
      </c>
      <c r="O140" t="s">
        <v>131</v>
      </c>
      <c r="P140" t="s">
        <v>23</v>
      </c>
      <c r="Q140">
        <v>861</v>
      </c>
      <c r="R140">
        <v>153</v>
      </c>
      <c r="S140">
        <v>317007</v>
      </c>
      <c r="T140">
        <v>3.85</v>
      </c>
      <c r="U140">
        <v>8718</v>
      </c>
      <c r="V140">
        <f t="shared" si="6"/>
        <v>860.99951736081539</v>
      </c>
    </row>
    <row r="141" spans="1:22" x14ac:dyDescent="0.3">
      <c r="A141" s="3" t="s">
        <v>18</v>
      </c>
      <c r="B141" s="3">
        <v>4241</v>
      </c>
      <c r="C141" s="3">
        <v>902</v>
      </c>
      <c r="D141" s="3">
        <v>47</v>
      </c>
      <c r="E141" s="3">
        <v>72097</v>
      </c>
      <c r="F141" s="3">
        <v>71598</v>
      </c>
      <c r="G141" s="3">
        <v>167</v>
      </c>
      <c r="H141" s="3">
        <f t="shared" si="7"/>
        <v>5190</v>
      </c>
      <c r="O141" t="s">
        <v>355</v>
      </c>
      <c r="P141" t="s">
        <v>23</v>
      </c>
      <c r="Q141">
        <v>946</v>
      </c>
      <c r="R141">
        <v>47</v>
      </c>
      <c r="S141">
        <v>466575</v>
      </c>
      <c r="T141">
        <v>8.33</v>
      </c>
      <c r="U141">
        <v>10002</v>
      </c>
      <c r="V141">
        <f t="shared" si="6"/>
        <v>945.99989926592718</v>
      </c>
    </row>
    <row r="142" spans="1:22" x14ac:dyDescent="0.3">
      <c r="A142" s="3" t="s">
        <v>18</v>
      </c>
      <c r="B142" s="3">
        <v>602</v>
      </c>
      <c r="C142" s="3">
        <v>594</v>
      </c>
      <c r="D142" s="3">
        <v>156</v>
      </c>
      <c r="E142" s="3">
        <v>4214</v>
      </c>
      <c r="F142" s="3">
        <v>3363</v>
      </c>
      <c r="G142" s="3">
        <v>164</v>
      </c>
      <c r="H142" s="3">
        <f t="shared" si="7"/>
        <v>1352</v>
      </c>
      <c r="O142" t="s">
        <v>403</v>
      </c>
      <c r="P142" t="s">
        <v>23</v>
      </c>
      <c r="Q142">
        <v>1399</v>
      </c>
      <c r="R142">
        <v>49</v>
      </c>
      <c r="S142">
        <v>12471</v>
      </c>
      <c r="T142">
        <v>5.12</v>
      </c>
      <c r="U142">
        <v>14722</v>
      </c>
      <c r="V142">
        <f t="shared" si="6"/>
        <v>1398.9960708844519</v>
      </c>
    </row>
    <row r="143" spans="1:22" x14ac:dyDescent="0.3">
      <c r="A143" s="3" t="s">
        <v>38</v>
      </c>
      <c r="B143" s="3">
        <v>3182</v>
      </c>
      <c r="C143" s="3">
        <v>559</v>
      </c>
      <c r="D143" s="3">
        <v>160</v>
      </c>
      <c r="E143" s="3">
        <v>57276</v>
      </c>
      <c r="F143" s="3">
        <v>56890</v>
      </c>
      <c r="G143" s="3">
        <v>163</v>
      </c>
      <c r="H143" s="3">
        <f t="shared" si="7"/>
        <v>3901</v>
      </c>
      <c r="O143" t="s">
        <v>404</v>
      </c>
      <c r="P143" t="s">
        <v>23</v>
      </c>
      <c r="Q143">
        <v>1077</v>
      </c>
      <c r="R143">
        <v>216</v>
      </c>
      <c r="S143">
        <v>12447</v>
      </c>
      <c r="T143">
        <v>1.8</v>
      </c>
      <c r="U143">
        <v>14068</v>
      </c>
      <c r="V143">
        <f t="shared" si="6"/>
        <v>1076.9826464208243</v>
      </c>
    </row>
    <row r="144" spans="1:22" x14ac:dyDescent="0.3">
      <c r="A144" s="3" t="s">
        <v>18</v>
      </c>
      <c r="B144" s="3">
        <v>3961</v>
      </c>
      <c r="C144" s="3">
        <v>761</v>
      </c>
      <c r="D144" s="3">
        <v>131</v>
      </c>
      <c r="E144" s="3">
        <v>67337</v>
      </c>
      <c r="F144" s="3">
        <v>66615</v>
      </c>
      <c r="G144" s="3">
        <v>161</v>
      </c>
      <c r="H144" s="3">
        <f t="shared" si="7"/>
        <v>4853</v>
      </c>
      <c r="O144" t="s">
        <v>128</v>
      </c>
      <c r="P144" t="s">
        <v>23</v>
      </c>
      <c r="Q144">
        <v>364</v>
      </c>
      <c r="R144">
        <v>72</v>
      </c>
      <c r="S144">
        <v>211090</v>
      </c>
      <c r="T144">
        <v>5.53</v>
      </c>
      <c r="U144">
        <v>21061</v>
      </c>
      <c r="V144">
        <f t="shared" si="6"/>
        <v>363.99965891325974</v>
      </c>
    </row>
    <row r="145" spans="1:22" x14ac:dyDescent="0.3">
      <c r="A145" s="3" t="s">
        <v>18</v>
      </c>
      <c r="B145" s="3">
        <v>400</v>
      </c>
      <c r="C145" s="3">
        <v>680</v>
      </c>
      <c r="D145" s="3">
        <v>434</v>
      </c>
      <c r="E145" s="3">
        <v>6400</v>
      </c>
      <c r="F145" s="3">
        <v>5472</v>
      </c>
      <c r="G145" s="3">
        <v>160</v>
      </c>
      <c r="H145" s="3">
        <f t="shared" si="7"/>
        <v>1514</v>
      </c>
      <c r="O145" t="s">
        <v>405</v>
      </c>
      <c r="P145" t="s">
        <v>23</v>
      </c>
      <c r="Q145">
        <v>1946</v>
      </c>
      <c r="R145">
        <v>270</v>
      </c>
      <c r="S145">
        <v>198350</v>
      </c>
      <c r="T145">
        <v>7.5</v>
      </c>
      <c r="U145">
        <v>11805</v>
      </c>
      <c r="V145">
        <f t="shared" si="6"/>
        <v>1945.9986387698514</v>
      </c>
    </row>
    <row r="146" spans="1:22" x14ac:dyDescent="0.3">
      <c r="A146" s="3" t="s">
        <v>18</v>
      </c>
      <c r="B146" s="3">
        <v>4441</v>
      </c>
      <c r="C146" s="3">
        <v>511</v>
      </c>
      <c r="D146" s="3">
        <v>70</v>
      </c>
      <c r="E146" s="3">
        <v>53292</v>
      </c>
      <c r="F146" s="3">
        <v>53082</v>
      </c>
      <c r="G146" s="3">
        <v>159</v>
      </c>
      <c r="H146" s="3">
        <f t="shared" si="7"/>
        <v>5022</v>
      </c>
      <c r="O146" t="s">
        <v>304</v>
      </c>
      <c r="P146" t="s">
        <v>23</v>
      </c>
      <c r="Q146">
        <v>1432</v>
      </c>
      <c r="R146">
        <v>425</v>
      </c>
      <c r="S146">
        <v>29589</v>
      </c>
      <c r="T146">
        <v>4.5</v>
      </c>
      <c r="U146">
        <v>42964</v>
      </c>
      <c r="V146">
        <f t="shared" si="6"/>
        <v>1431.9856365541248</v>
      </c>
    </row>
    <row r="147" spans="1:22" x14ac:dyDescent="0.3">
      <c r="A147" s="3" t="s">
        <v>23</v>
      </c>
      <c r="B147" s="3">
        <v>1048</v>
      </c>
      <c r="C147" s="3">
        <v>374</v>
      </c>
      <c r="D147" s="3">
        <v>450</v>
      </c>
      <c r="E147" s="3">
        <v>9432</v>
      </c>
      <c r="F147" s="3">
        <v>8882</v>
      </c>
      <c r="G147" s="3">
        <v>158</v>
      </c>
      <c r="H147" s="3">
        <f t="shared" si="7"/>
        <v>1872</v>
      </c>
      <c r="O147" t="s">
        <v>406</v>
      </c>
      <c r="P147" t="s">
        <v>23</v>
      </c>
      <c r="Q147">
        <v>353</v>
      </c>
      <c r="R147">
        <v>300</v>
      </c>
      <c r="S147">
        <v>142507</v>
      </c>
      <c r="T147">
        <v>5.3</v>
      </c>
      <c r="U147">
        <v>11035</v>
      </c>
      <c r="V147">
        <f t="shared" si="6"/>
        <v>352.99789484025348</v>
      </c>
    </row>
    <row r="148" spans="1:22" x14ac:dyDescent="0.3">
      <c r="A148" s="3" t="s">
        <v>18</v>
      </c>
      <c r="B148" s="3">
        <v>3452</v>
      </c>
      <c r="C148" s="3">
        <v>652</v>
      </c>
      <c r="D148" s="3">
        <v>442</v>
      </c>
      <c r="E148" s="3">
        <v>65588</v>
      </c>
      <c r="F148" s="3">
        <v>65049</v>
      </c>
      <c r="G148" s="3">
        <v>158</v>
      </c>
      <c r="H148" s="3">
        <f t="shared" si="7"/>
        <v>4546</v>
      </c>
      <c r="O148" t="s">
        <v>407</v>
      </c>
      <c r="P148" t="s">
        <v>23</v>
      </c>
      <c r="Q148">
        <v>1147</v>
      </c>
      <c r="R148">
        <v>388</v>
      </c>
      <c r="S148">
        <v>333851</v>
      </c>
      <c r="T148">
        <v>2.44</v>
      </c>
      <c r="U148">
        <v>8471</v>
      </c>
      <c r="V148">
        <f t="shared" si="6"/>
        <v>1146.998837804889</v>
      </c>
    </row>
    <row r="149" spans="1:22" x14ac:dyDescent="0.3">
      <c r="A149" s="3" t="s">
        <v>38</v>
      </c>
      <c r="B149" s="3">
        <v>4363</v>
      </c>
      <c r="C149" s="3">
        <v>649</v>
      </c>
      <c r="D149" s="3">
        <v>140</v>
      </c>
      <c r="E149" s="3">
        <v>21815</v>
      </c>
      <c r="F149" s="3">
        <v>21481</v>
      </c>
      <c r="G149" s="3">
        <v>157</v>
      </c>
      <c r="H149" s="3">
        <f t="shared" si="7"/>
        <v>5152</v>
      </c>
      <c r="O149" t="s">
        <v>76</v>
      </c>
      <c r="P149" t="s">
        <v>23</v>
      </c>
      <c r="Q149">
        <v>1222</v>
      </c>
      <c r="R149">
        <v>274</v>
      </c>
      <c r="S149">
        <v>487289</v>
      </c>
      <c r="T149">
        <v>3.16</v>
      </c>
      <c r="U149">
        <v>32500</v>
      </c>
      <c r="V149">
        <f t="shared" si="6"/>
        <v>1221.9994377053454</v>
      </c>
    </row>
    <row r="150" spans="1:22" x14ac:dyDescent="0.3">
      <c r="A150" s="3" t="s">
        <v>23</v>
      </c>
      <c r="B150" s="3">
        <v>3367</v>
      </c>
      <c r="C150" s="3">
        <v>302</v>
      </c>
      <c r="D150" s="3">
        <v>57</v>
      </c>
      <c r="E150" s="3">
        <v>63973</v>
      </c>
      <c r="F150" s="3">
        <v>63789</v>
      </c>
      <c r="G150" s="3">
        <v>157</v>
      </c>
      <c r="H150" s="3">
        <f t="shared" si="7"/>
        <v>3726</v>
      </c>
      <c r="O150" t="s">
        <v>329</v>
      </c>
      <c r="P150" t="s">
        <v>23</v>
      </c>
      <c r="Q150">
        <v>1581</v>
      </c>
      <c r="R150">
        <v>71</v>
      </c>
      <c r="S150">
        <v>484364</v>
      </c>
      <c r="T150">
        <v>3.55</v>
      </c>
      <c r="U150">
        <v>16149</v>
      </c>
      <c r="V150">
        <f t="shared" si="6"/>
        <v>1580.9998534160259</v>
      </c>
    </row>
    <row r="151" spans="1:22" x14ac:dyDescent="0.3">
      <c r="A151" s="3" t="s">
        <v>38</v>
      </c>
      <c r="B151" s="3">
        <v>142</v>
      </c>
      <c r="C151" s="3">
        <v>784</v>
      </c>
      <c r="D151" s="3">
        <v>183</v>
      </c>
      <c r="E151" s="3">
        <v>1704</v>
      </c>
      <c r="F151" s="3">
        <v>995</v>
      </c>
      <c r="G151" s="3">
        <v>154</v>
      </c>
      <c r="H151" s="3">
        <f t="shared" si="7"/>
        <v>1109</v>
      </c>
      <c r="O151" t="s">
        <v>252</v>
      </c>
      <c r="P151" t="s">
        <v>23</v>
      </c>
      <c r="Q151">
        <v>337</v>
      </c>
      <c r="R151">
        <v>68</v>
      </c>
      <c r="S151">
        <v>456298</v>
      </c>
      <c r="T151">
        <v>7.57</v>
      </c>
      <c r="U151">
        <v>4007</v>
      </c>
      <c r="V151">
        <f t="shared" si="6"/>
        <v>336.99985097458239</v>
      </c>
    </row>
    <row r="152" spans="1:22" x14ac:dyDescent="0.3">
      <c r="A152" s="3" t="s">
        <v>38</v>
      </c>
      <c r="B152" s="3">
        <v>1431</v>
      </c>
      <c r="C152" s="3">
        <v>951</v>
      </c>
      <c r="D152" s="3">
        <v>26</v>
      </c>
      <c r="E152" s="3">
        <v>8586</v>
      </c>
      <c r="F152" s="3">
        <v>8396</v>
      </c>
      <c r="G152" s="3">
        <v>150</v>
      </c>
      <c r="H152" s="3">
        <f t="shared" si="7"/>
        <v>2408</v>
      </c>
      <c r="O152" t="s">
        <v>351</v>
      </c>
      <c r="P152" t="s">
        <v>13</v>
      </c>
      <c r="Q152">
        <v>1535</v>
      </c>
      <c r="R152">
        <v>445</v>
      </c>
      <c r="S152">
        <v>395536</v>
      </c>
      <c r="T152">
        <v>4.1100000000000003</v>
      </c>
      <c r="U152">
        <v>30671</v>
      </c>
      <c r="V152">
        <f t="shared" si="6"/>
        <v>1534.9988749443792</v>
      </c>
    </row>
    <row r="153" spans="1:22" x14ac:dyDescent="0.3">
      <c r="A153" s="3" t="s">
        <v>38</v>
      </c>
      <c r="B153" s="3">
        <v>4771</v>
      </c>
      <c r="C153" s="3">
        <v>818</v>
      </c>
      <c r="D153" s="3">
        <v>56</v>
      </c>
      <c r="E153" s="3">
        <v>57252</v>
      </c>
      <c r="F153" s="3">
        <v>56378</v>
      </c>
      <c r="G153" s="3">
        <v>150</v>
      </c>
      <c r="H153" s="3">
        <f t="shared" si="7"/>
        <v>5645</v>
      </c>
      <c r="O153" t="s">
        <v>271</v>
      </c>
      <c r="P153" t="s">
        <v>13</v>
      </c>
      <c r="Q153">
        <v>1197</v>
      </c>
      <c r="R153">
        <v>203</v>
      </c>
      <c r="S153">
        <v>413878</v>
      </c>
      <c r="T153">
        <v>3.16</v>
      </c>
      <c r="U153">
        <v>21205</v>
      </c>
      <c r="V153">
        <f t="shared" si="6"/>
        <v>1196.9995095172974</v>
      </c>
    </row>
    <row r="154" spans="1:22" x14ac:dyDescent="0.3">
      <c r="A154" s="3" t="s">
        <v>23</v>
      </c>
      <c r="B154" s="3">
        <v>1292</v>
      </c>
      <c r="C154" s="3">
        <v>626</v>
      </c>
      <c r="D154" s="3">
        <v>496</v>
      </c>
      <c r="E154" s="3">
        <v>25840</v>
      </c>
      <c r="F154" s="3">
        <v>24916</v>
      </c>
      <c r="G154" s="3">
        <v>149</v>
      </c>
      <c r="H154" s="3">
        <f t="shared" si="7"/>
        <v>2414</v>
      </c>
      <c r="O154" t="s">
        <v>206</v>
      </c>
      <c r="P154" t="s">
        <v>13</v>
      </c>
      <c r="Q154">
        <v>403</v>
      </c>
      <c r="R154">
        <v>66</v>
      </c>
      <c r="S154">
        <v>382851</v>
      </c>
      <c r="T154">
        <v>3.49</v>
      </c>
      <c r="U154">
        <v>24313</v>
      </c>
      <c r="V154">
        <f t="shared" si="6"/>
        <v>402.9998276091743</v>
      </c>
    </row>
    <row r="155" spans="1:22" x14ac:dyDescent="0.3">
      <c r="A155" s="3" t="s">
        <v>23</v>
      </c>
      <c r="B155" s="3">
        <v>53</v>
      </c>
      <c r="C155" s="3">
        <v>81</v>
      </c>
      <c r="D155" s="3">
        <v>379</v>
      </c>
      <c r="E155" s="3">
        <v>954</v>
      </c>
      <c r="F155" s="3">
        <v>7</v>
      </c>
      <c r="G155" s="3">
        <v>148</v>
      </c>
      <c r="H155" s="3">
        <f t="shared" si="7"/>
        <v>513</v>
      </c>
      <c r="O155" t="s">
        <v>122</v>
      </c>
      <c r="P155" t="s">
        <v>13</v>
      </c>
      <c r="Q155">
        <v>308</v>
      </c>
      <c r="R155">
        <v>431</v>
      </c>
      <c r="S155">
        <v>426184</v>
      </c>
      <c r="T155">
        <v>2.62</v>
      </c>
      <c r="U155">
        <v>1783</v>
      </c>
      <c r="V155">
        <f t="shared" si="6"/>
        <v>307.99898869971656</v>
      </c>
    </row>
    <row r="156" spans="1:22" x14ac:dyDescent="0.3">
      <c r="A156" s="3" t="s">
        <v>13</v>
      </c>
      <c r="B156" s="3">
        <v>2746</v>
      </c>
      <c r="C156" s="3">
        <v>156</v>
      </c>
      <c r="D156" s="3">
        <v>203</v>
      </c>
      <c r="E156" s="3">
        <v>32952</v>
      </c>
      <c r="F156" s="3">
        <v>32147</v>
      </c>
      <c r="G156" s="3">
        <v>147</v>
      </c>
      <c r="H156" s="3">
        <f t="shared" si="7"/>
        <v>3105</v>
      </c>
      <c r="O156" t="s">
        <v>376</v>
      </c>
      <c r="P156" t="s">
        <v>13</v>
      </c>
      <c r="Q156">
        <v>144</v>
      </c>
      <c r="R156">
        <v>53</v>
      </c>
      <c r="S156">
        <v>113678</v>
      </c>
      <c r="T156">
        <v>8.7200000000000006</v>
      </c>
      <c r="U156">
        <v>30060</v>
      </c>
      <c r="V156">
        <f t="shared" si="6"/>
        <v>143.99953377082636</v>
      </c>
    </row>
    <row r="157" spans="1:22" x14ac:dyDescent="0.3">
      <c r="A157" s="3" t="s">
        <v>23</v>
      </c>
      <c r="B157" s="3">
        <v>929</v>
      </c>
      <c r="C157" s="3">
        <v>192</v>
      </c>
      <c r="D157" s="3">
        <v>322</v>
      </c>
      <c r="E157" s="3">
        <v>16722</v>
      </c>
      <c r="F157" s="3">
        <v>15996</v>
      </c>
      <c r="G157" s="3">
        <v>145</v>
      </c>
      <c r="H157" s="3">
        <f t="shared" si="7"/>
        <v>1443</v>
      </c>
      <c r="O157" t="s">
        <v>390</v>
      </c>
      <c r="P157" t="s">
        <v>13</v>
      </c>
      <c r="Q157">
        <v>883</v>
      </c>
      <c r="R157">
        <v>369</v>
      </c>
      <c r="S157">
        <v>233694</v>
      </c>
      <c r="T157">
        <v>2.88</v>
      </c>
      <c r="U157">
        <v>15071</v>
      </c>
      <c r="V157">
        <f t="shared" si="6"/>
        <v>882.99842101209276</v>
      </c>
    </row>
    <row r="158" spans="1:22" x14ac:dyDescent="0.3">
      <c r="A158" s="3" t="s">
        <v>13</v>
      </c>
      <c r="B158" s="3">
        <v>1963</v>
      </c>
      <c r="C158" s="3">
        <v>213</v>
      </c>
      <c r="D158" s="3">
        <v>19</v>
      </c>
      <c r="E158" s="3">
        <v>39260</v>
      </c>
      <c r="F158" s="3">
        <v>38771</v>
      </c>
      <c r="G158" s="3">
        <v>145</v>
      </c>
      <c r="H158" s="3">
        <f t="shared" si="7"/>
        <v>2195</v>
      </c>
      <c r="O158" t="s">
        <v>222</v>
      </c>
      <c r="P158" t="s">
        <v>13</v>
      </c>
      <c r="Q158">
        <v>224</v>
      </c>
      <c r="R158">
        <v>64</v>
      </c>
      <c r="S158">
        <v>156683</v>
      </c>
      <c r="T158">
        <v>4.5599999999999996</v>
      </c>
      <c r="U158">
        <v>28474</v>
      </c>
      <c r="V158">
        <f t="shared" si="6"/>
        <v>223.99959153194666</v>
      </c>
    </row>
    <row r="159" spans="1:22" x14ac:dyDescent="0.3">
      <c r="A159" s="3" t="s">
        <v>38</v>
      </c>
      <c r="B159" s="3">
        <v>3256</v>
      </c>
      <c r="C159" s="3">
        <v>459</v>
      </c>
      <c r="D159" s="3">
        <v>266</v>
      </c>
      <c r="E159" s="3">
        <v>26048</v>
      </c>
      <c r="F159" s="3">
        <v>25529</v>
      </c>
      <c r="G159" s="3">
        <v>143</v>
      </c>
      <c r="H159" s="3">
        <f t="shared" si="7"/>
        <v>3981</v>
      </c>
      <c r="O159" t="s">
        <v>391</v>
      </c>
      <c r="P159" t="s">
        <v>13</v>
      </c>
      <c r="Q159">
        <v>804</v>
      </c>
      <c r="R159">
        <v>487</v>
      </c>
      <c r="S159">
        <v>306564</v>
      </c>
      <c r="T159">
        <v>5.52</v>
      </c>
      <c r="U159">
        <v>26452</v>
      </c>
      <c r="V159">
        <f t="shared" si="6"/>
        <v>803.99841142469438</v>
      </c>
    </row>
    <row r="160" spans="1:22" x14ac:dyDescent="0.3">
      <c r="A160" s="3" t="s">
        <v>13</v>
      </c>
      <c r="B160" s="3">
        <v>2283</v>
      </c>
      <c r="C160" s="3">
        <v>210</v>
      </c>
      <c r="D160" s="3">
        <v>130</v>
      </c>
      <c r="E160" s="3">
        <v>22830</v>
      </c>
      <c r="F160" s="3">
        <v>22617</v>
      </c>
      <c r="G160" s="3">
        <v>143</v>
      </c>
      <c r="H160" s="3">
        <f t="shared" si="7"/>
        <v>2623</v>
      </c>
      <c r="O160" t="s">
        <v>56</v>
      </c>
      <c r="P160" t="s">
        <v>13</v>
      </c>
      <c r="Q160">
        <v>576</v>
      </c>
      <c r="R160">
        <v>101</v>
      </c>
      <c r="S160">
        <v>62499</v>
      </c>
      <c r="T160">
        <v>3.48</v>
      </c>
      <c r="U160">
        <v>16804</v>
      </c>
      <c r="V160">
        <f t="shared" si="6"/>
        <v>575.99838397414362</v>
      </c>
    </row>
    <row r="161" spans="1:22" x14ac:dyDescent="0.3">
      <c r="A161" s="3" t="s">
        <v>38</v>
      </c>
      <c r="B161" s="3">
        <v>4158</v>
      </c>
      <c r="C161" s="3">
        <v>167</v>
      </c>
      <c r="D161" s="3">
        <v>241</v>
      </c>
      <c r="E161" s="3">
        <v>45738</v>
      </c>
      <c r="F161" s="3">
        <v>45183</v>
      </c>
      <c r="G161" s="3">
        <v>142</v>
      </c>
      <c r="H161" s="3">
        <f t="shared" si="7"/>
        <v>4566</v>
      </c>
      <c r="O161" t="s">
        <v>325</v>
      </c>
      <c r="P161" t="s">
        <v>13</v>
      </c>
      <c r="Q161">
        <v>460</v>
      </c>
      <c r="R161">
        <v>141</v>
      </c>
      <c r="S161">
        <v>320650</v>
      </c>
      <c r="T161">
        <v>4.04</v>
      </c>
      <c r="U161">
        <v>49372</v>
      </c>
      <c r="V161">
        <f t="shared" si="6"/>
        <v>459.99956026820519</v>
      </c>
    </row>
    <row r="162" spans="1:22" x14ac:dyDescent="0.3">
      <c r="A162" s="3" t="s">
        <v>38</v>
      </c>
      <c r="B162" s="3">
        <v>1878</v>
      </c>
      <c r="C162" s="3">
        <v>62</v>
      </c>
      <c r="D162" s="3">
        <v>179</v>
      </c>
      <c r="E162" s="3">
        <v>37560</v>
      </c>
      <c r="F162" s="3">
        <v>36874</v>
      </c>
      <c r="G162" s="3">
        <v>142</v>
      </c>
      <c r="H162" s="3">
        <f t="shared" si="7"/>
        <v>2119</v>
      </c>
      <c r="O162" t="s">
        <v>248</v>
      </c>
      <c r="P162" t="s">
        <v>13</v>
      </c>
      <c r="Q162">
        <v>1210</v>
      </c>
      <c r="R162">
        <v>178</v>
      </c>
      <c r="S162">
        <v>102042</v>
      </c>
      <c r="T162">
        <v>5.42</v>
      </c>
      <c r="U162">
        <v>6915</v>
      </c>
      <c r="V162">
        <f t="shared" ref="V162:V193" si="8">Q162-R162/S162</f>
        <v>1209.9982556202349</v>
      </c>
    </row>
    <row r="163" spans="1:22" x14ac:dyDescent="0.3">
      <c r="A163" s="3" t="s">
        <v>38</v>
      </c>
      <c r="B163" s="3">
        <v>2174</v>
      </c>
      <c r="C163" s="3">
        <v>658</v>
      </c>
      <c r="D163" s="3">
        <v>15</v>
      </c>
      <c r="E163" s="3">
        <v>13044</v>
      </c>
      <c r="F163" s="3">
        <v>12206</v>
      </c>
      <c r="G163" s="3">
        <v>137</v>
      </c>
      <c r="H163" s="3">
        <f t="shared" si="7"/>
        <v>2847</v>
      </c>
      <c r="O163" t="s">
        <v>178</v>
      </c>
      <c r="P163" t="s">
        <v>13</v>
      </c>
      <c r="Q163">
        <v>221</v>
      </c>
      <c r="R163">
        <v>31</v>
      </c>
      <c r="S163">
        <v>87443</v>
      </c>
      <c r="T163">
        <v>6.19</v>
      </c>
      <c r="U163">
        <v>10283</v>
      </c>
      <c r="V163">
        <f t="shared" si="8"/>
        <v>220.99964548334344</v>
      </c>
    </row>
    <row r="164" spans="1:22" x14ac:dyDescent="0.3">
      <c r="A164" s="3" t="s">
        <v>23</v>
      </c>
      <c r="B164" s="3">
        <v>1556</v>
      </c>
      <c r="C164" s="3">
        <v>195</v>
      </c>
      <c r="D164" s="3">
        <v>131</v>
      </c>
      <c r="E164" s="3">
        <v>9336</v>
      </c>
      <c r="F164" s="3">
        <v>8875</v>
      </c>
      <c r="G164" s="3">
        <v>137</v>
      </c>
      <c r="H164" s="3">
        <f t="shared" si="7"/>
        <v>1882</v>
      </c>
      <c r="O164" t="s">
        <v>97</v>
      </c>
      <c r="P164" t="s">
        <v>13</v>
      </c>
      <c r="Q164">
        <v>422</v>
      </c>
      <c r="R164">
        <v>394</v>
      </c>
      <c r="S164">
        <v>239044</v>
      </c>
      <c r="T164">
        <v>7.83</v>
      </c>
      <c r="U164">
        <v>32929</v>
      </c>
      <c r="V164">
        <f t="shared" si="8"/>
        <v>421.99835176787536</v>
      </c>
    </row>
    <row r="165" spans="1:22" x14ac:dyDescent="0.3">
      <c r="A165" s="3" t="s">
        <v>13</v>
      </c>
      <c r="B165" s="3">
        <v>2728</v>
      </c>
      <c r="C165" s="3">
        <v>533</v>
      </c>
      <c r="D165" s="3">
        <v>215</v>
      </c>
      <c r="E165" s="3">
        <v>40920</v>
      </c>
      <c r="F165" s="3">
        <v>40816</v>
      </c>
      <c r="G165" s="3">
        <v>137</v>
      </c>
      <c r="H165" s="3">
        <f t="shared" si="7"/>
        <v>3476</v>
      </c>
      <c r="O165" t="s">
        <v>363</v>
      </c>
      <c r="P165" t="s">
        <v>13</v>
      </c>
      <c r="Q165">
        <v>728</v>
      </c>
      <c r="R165">
        <v>395</v>
      </c>
      <c r="S165">
        <v>370971</v>
      </c>
      <c r="T165">
        <v>3.86</v>
      </c>
      <c r="U165">
        <v>12646</v>
      </c>
      <c r="V165">
        <f t="shared" si="8"/>
        <v>727.99893522674279</v>
      </c>
    </row>
    <row r="166" spans="1:22" x14ac:dyDescent="0.3">
      <c r="A166" s="3" t="s">
        <v>18</v>
      </c>
      <c r="B166" s="3">
        <v>1263</v>
      </c>
      <c r="C166" s="3">
        <v>397</v>
      </c>
      <c r="D166" s="3">
        <v>357</v>
      </c>
      <c r="E166" s="3">
        <v>25260</v>
      </c>
      <c r="F166" s="3">
        <v>24615</v>
      </c>
      <c r="G166" s="3">
        <v>137</v>
      </c>
      <c r="H166" s="3">
        <f t="shared" si="7"/>
        <v>2017</v>
      </c>
      <c r="O166" t="s">
        <v>285</v>
      </c>
      <c r="P166" t="s">
        <v>13</v>
      </c>
      <c r="Q166">
        <v>1409</v>
      </c>
      <c r="R166">
        <v>309</v>
      </c>
      <c r="S166">
        <v>64583</v>
      </c>
      <c r="T166">
        <v>8.99</v>
      </c>
      <c r="U166">
        <v>10217</v>
      </c>
      <c r="V166">
        <f t="shared" si="8"/>
        <v>1408.9952154591765</v>
      </c>
    </row>
    <row r="167" spans="1:22" x14ac:dyDescent="0.3">
      <c r="A167" s="3" t="s">
        <v>13</v>
      </c>
      <c r="B167" s="3">
        <v>2949</v>
      </c>
      <c r="C167" s="3">
        <v>476</v>
      </c>
      <c r="D167" s="3">
        <v>403</v>
      </c>
      <c r="E167" s="3">
        <v>44235</v>
      </c>
      <c r="F167" s="3">
        <v>43705</v>
      </c>
      <c r="G167" s="3">
        <v>135</v>
      </c>
      <c r="H167" s="3">
        <f t="shared" si="7"/>
        <v>3828</v>
      </c>
      <c r="O167" t="s">
        <v>392</v>
      </c>
      <c r="P167" t="s">
        <v>13</v>
      </c>
      <c r="Q167">
        <v>123</v>
      </c>
      <c r="R167">
        <v>155</v>
      </c>
      <c r="S167">
        <v>119934</v>
      </c>
      <c r="T167">
        <v>3.5</v>
      </c>
      <c r="U167">
        <v>5442</v>
      </c>
      <c r="V167">
        <f t="shared" si="8"/>
        <v>122.99870762252573</v>
      </c>
    </row>
    <row r="168" spans="1:22" x14ac:dyDescent="0.3">
      <c r="A168" s="3" t="s">
        <v>13</v>
      </c>
      <c r="B168" s="3">
        <v>3166</v>
      </c>
      <c r="C168" s="3">
        <v>90</v>
      </c>
      <c r="D168" s="3">
        <v>341</v>
      </c>
      <c r="E168" s="3">
        <v>56988</v>
      </c>
      <c r="F168" s="3">
        <v>56125</v>
      </c>
      <c r="G168" s="3">
        <v>135</v>
      </c>
      <c r="H168" s="3">
        <f t="shared" si="7"/>
        <v>3597</v>
      </c>
      <c r="O168" t="s">
        <v>393</v>
      </c>
      <c r="P168" t="s">
        <v>13</v>
      </c>
      <c r="Q168">
        <v>1218</v>
      </c>
      <c r="R168">
        <v>212</v>
      </c>
      <c r="S168">
        <v>63177</v>
      </c>
      <c r="T168">
        <v>8.1300000000000008</v>
      </c>
      <c r="U168">
        <v>38883</v>
      </c>
      <c r="V168">
        <f t="shared" si="8"/>
        <v>1217.9966443484179</v>
      </c>
    </row>
    <row r="169" spans="1:22" x14ac:dyDescent="0.3">
      <c r="A169" s="3" t="s">
        <v>18</v>
      </c>
      <c r="B169" s="3">
        <v>1570</v>
      </c>
      <c r="C169" s="3">
        <v>187</v>
      </c>
      <c r="D169" s="3">
        <v>260</v>
      </c>
      <c r="E169" s="3">
        <v>25120</v>
      </c>
      <c r="F169" s="3">
        <v>24613</v>
      </c>
      <c r="G169" s="3">
        <v>133</v>
      </c>
      <c r="H169" s="3">
        <f t="shared" si="7"/>
        <v>2017</v>
      </c>
      <c r="O169" t="s">
        <v>394</v>
      </c>
      <c r="P169" t="s">
        <v>13</v>
      </c>
      <c r="Q169">
        <v>1918</v>
      </c>
      <c r="R169">
        <v>212</v>
      </c>
      <c r="S169">
        <v>94360</v>
      </c>
      <c r="T169">
        <v>7.36</v>
      </c>
      <c r="U169">
        <v>36851</v>
      </c>
      <c r="V169">
        <f t="shared" si="8"/>
        <v>1917.9977532852904</v>
      </c>
    </row>
    <row r="170" spans="1:22" x14ac:dyDescent="0.3">
      <c r="A170" s="3" t="s">
        <v>38</v>
      </c>
      <c r="B170" s="3">
        <v>4501</v>
      </c>
      <c r="C170" s="3">
        <v>375</v>
      </c>
      <c r="D170" s="3">
        <v>323</v>
      </c>
      <c r="E170" s="3">
        <v>22505</v>
      </c>
      <c r="F170" s="3">
        <v>21836</v>
      </c>
      <c r="G170" s="3">
        <v>132</v>
      </c>
      <c r="H170" s="3">
        <f t="shared" si="7"/>
        <v>5199</v>
      </c>
      <c r="O170" t="s">
        <v>395</v>
      </c>
      <c r="P170" t="s">
        <v>13</v>
      </c>
      <c r="Q170">
        <v>307</v>
      </c>
      <c r="R170">
        <v>189</v>
      </c>
      <c r="S170">
        <v>117767</v>
      </c>
      <c r="T170">
        <v>9.3000000000000007</v>
      </c>
      <c r="U170">
        <v>27822</v>
      </c>
      <c r="V170">
        <f t="shared" si="8"/>
        <v>306.99839513615871</v>
      </c>
    </row>
    <row r="171" spans="1:22" x14ac:dyDescent="0.3">
      <c r="A171" s="3" t="s">
        <v>13</v>
      </c>
      <c r="B171" s="3">
        <v>3704</v>
      </c>
      <c r="C171" s="3">
        <v>186</v>
      </c>
      <c r="D171" s="3">
        <v>458</v>
      </c>
      <c r="E171" s="3">
        <v>25928</v>
      </c>
      <c r="F171" s="3">
        <v>25081</v>
      </c>
      <c r="G171" s="3">
        <v>131</v>
      </c>
      <c r="H171" s="3">
        <f t="shared" si="7"/>
        <v>4348</v>
      </c>
      <c r="O171" t="s">
        <v>396</v>
      </c>
      <c r="P171" t="s">
        <v>13</v>
      </c>
      <c r="Q171">
        <v>414</v>
      </c>
      <c r="R171">
        <v>47</v>
      </c>
      <c r="S171">
        <v>199178</v>
      </c>
      <c r="T171">
        <v>1.53</v>
      </c>
      <c r="U171">
        <v>6742</v>
      </c>
      <c r="V171">
        <f t="shared" si="8"/>
        <v>413.99976403016399</v>
      </c>
    </row>
    <row r="172" spans="1:22" x14ac:dyDescent="0.3">
      <c r="A172" s="3" t="s">
        <v>18</v>
      </c>
      <c r="B172" s="3">
        <v>3784</v>
      </c>
      <c r="C172" s="3">
        <v>808</v>
      </c>
      <c r="D172" s="3">
        <v>404</v>
      </c>
      <c r="E172" s="3">
        <v>56760</v>
      </c>
      <c r="F172" s="3">
        <v>56343</v>
      </c>
      <c r="G172" s="3">
        <v>131</v>
      </c>
      <c r="H172" s="3">
        <f t="shared" si="7"/>
        <v>4996</v>
      </c>
      <c r="O172" t="s">
        <v>159</v>
      </c>
      <c r="P172" t="s">
        <v>13</v>
      </c>
      <c r="Q172">
        <v>1707</v>
      </c>
      <c r="R172">
        <v>223</v>
      </c>
      <c r="S172">
        <v>256910</v>
      </c>
      <c r="T172">
        <v>5.41</v>
      </c>
      <c r="U172">
        <v>44321</v>
      </c>
      <c r="V172">
        <f t="shared" si="8"/>
        <v>1706.9991319917481</v>
      </c>
    </row>
    <row r="173" spans="1:22" x14ac:dyDescent="0.3">
      <c r="A173" s="3" t="s">
        <v>38</v>
      </c>
      <c r="B173" s="3">
        <v>3134</v>
      </c>
      <c r="C173" s="3">
        <v>888</v>
      </c>
      <c r="D173" s="3">
        <v>444</v>
      </c>
      <c r="E173" s="3">
        <v>21938</v>
      </c>
      <c r="F173" s="3">
        <v>21337</v>
      </c>
      <c r="G173" s="3">
        <v>130</v>
      </c>
      <c r="H173" s="3">
        <f t="shared" si="7"/>
        <v>4466</v>
      </c>
      <c r="O173" t="s">
        <v>72</v>
      </c>
      <c r="P173" t="s">
        <v>13</v>
      </c>
      <c r="Q173">
        <v>1814</v>
      </c>
      <c r="R173">
        <v>157</v>
      </c>
      <c r="S173">
        <v>305827</v>
      </c>
      <c r="T173">
        <v>1.99</v>
      </c>
      <c r="U173">
        <v>46643</v>
      </c>
      <c r="V173">
        <f t="shared" si="8"/>
        <v>1813.9994866378704</v>
      </c>
    </row>
    <row r="174" spans="1:22" x14ac:dyDescent="0.3">
      <c r="A174" s="3" t="s">
        <v>23</v>
      </c>
      <c r="B174" s="3">
        <v>4274</v>
      </c>
      <c r="C174" s="3">
        <v>340</v>
      </c>
      <c r="D174" s="3">
        <v>281</v>
      </c>
      <c r="E174" s="3">
        <v>34192</v>
      </c>
      <c r="F174" s="3">
        <v>33446</v>
      </c>
      <c r="G174" s="3">
        <v>129</v>
      </c>
      <c r="H174" s="3">
        <f t="shared" si="7"/>
        <v>4895</v>
      </c>
      <c r="O174" t="s">
        <v>333</v>
      </c>
      <c r="P174" t="s">
        <v>13</v>
      </c>
      <c r="Q174">
        <v>1507</v>
      </c>
      <c r="R174">
        <v>463</v>
      </c>
      <c r="S174">
        <v>258944</v>
      </c>
      <c r="T174">
        <v>6.08</v>
      </c>
      <c r="U174">
        <v>16443</v>
      </c>
      <c r="V174">
        <f t="shared" si="8"/>
        <v>1506.998211968611</v>
      </c>
    </row>
    <row r="175" spans="1:22" x14ac:dyDescent="0.3">
      <c r="A175" s="3" t="s">
        <v>18</v>
      </c>
      <c r="B175" s="3">
        <v>2751</v>
      </c>
      <c r="C175" s="3">
        <v>33</v>
      </c>
      <c r="D175" s="3">
        <v>430</v>
      </c>
      <c r="E175" s="3">
        <v>44016</v>
      </c>
      <c r="F175" s="3">
        <v>43415</v>
      </c>
      <c r="G175" s="3">
        <v>129</v>
      </c>
      <c r="H175" s="3">
        <f t="shared" si="7"/>
        <v>3214</v>
      </c>
      <c r="O175" t="s">
        <v>397</v>
      </c>
      <c r="P175" t="s">
        <v>13</v>
      </c>
      <c r="Q175">
        <v>454</v>
      </c>
      <c r="R175">
        <v>105</v>
      </c>
      <c r="S175">
        <v>121091</v>
      </c>
      <c r="T175">
        <v>7.97</v>
      </c>
      <c r="U175">
        <v>9269</v>
      </c>
      <c r="V175">
        <f t="shared" si="8"/>
        <v>453.99913288353389</v>
      </c>
    </row>
    <row r="176" spans="1:22" x14ac:dyDescent="0.3">
      <c r="A176" s="3" t="s">
        <v>38</v>
      </c>
      <c r="B176" s="3">
        <v>2404</v>
      </c>
      <c r="C176" s="3">
        <v>363</v>
      </c>
      <c r="D176" s="3">
        <v>138</v>
      </c>
      <c r="E176" s="3">
        <v>19232</v>
      </c>
      <c r="F176" s="3">
        <v>18636</v>
      </c>
      <c r="G176" s="3">
        <v>128</v>
      </c>
      <c r="H176" s="3">
        <f t="shared" si="7"/>
        <v>2905</v>
      </c>
      <c r="O176" t="s">
        <v>188</v>
      </c>
      <c r="P176" t="s">
        <v>13</v>
      </c>
      <c r="Q176">
        <v>278</v>
      </c>
      <c r="R176">
        <v>218</v>
      </c>
      <c r="S176">
        <v>301695</v>
      </c>
      <c r="T176">
        <v>4.68</v>
      </c>
      <c r="U176">
        <v>22373</v>
      </c>
      <c r="V176">
        <f t="shared" si="8"/>
        <v>277.99927741593331</v>
      </c>
    </row>
    <row r="177" spans="1:22" x14ac:dyDescent="0.3">
      <c r="A177" s="3" t="s">
        <v>23</v>
      </c>
      <c r="B177" s="3">
        <v>2704</v>
      </c>
      <c r="C177" s="3">
        <v>752</v>
      </c>
      <c r="D177" s="3">
        <v>153</v>
      </c>
      <c r="E177" s="3">
        <v>21632</v>
      </c>
      <c r="F177" s="3">
        <v>20792</v>
      </c>
      <c r="G177" s="3">
        <v>127</v>
      </c>
      <c r="H177" s="3">
        <f t="shared" si="7"/>
        <v>3609</v>
      </c>
      <c r="O177" t="s">
        <v>105</v>
      </c>
      <c r="P177" t="s">
        <v>13</v>
      </c>
      <c r="Q177">
        <v>1293</v>
      </c>
      <c r="R177">
        <v>408</v>
      </c>
      <c r="S177">
        <v>62535</v>
      </c>
      <c r="T177">
        <v>8.9</v>
      </c>
      <c r="U177">
        <v>37876</v>
      </c>
      <c r="V177">
        <f t="shared" si="8"/>
        <v>1292.9934756536341</v>
      </c>
    </row>
    <row r="178" spans="1:22" x14ac:dyDescent="0.3">
      <c r="A178" s="3" t="s">
        <v>23</v>
      </c>
      <c r="B178" s="3">
        <v>4507</v>
      </c>
      <c r="C178" s="3">
        <v>217</v>
      </c>
      <c r="D178" s="3">
        <v>13</v>
      </c>
      <c r="E178" s="3">
        <v>90140</v>
      </c>
      <c r="F178" s="3">
        <v>89591</v>
      </c>
      <c r="G178" s="3">
        <v>125</v>
      </c>
      <c r="H178" s="3">
        <f t="shared" si="7"/>
        <v>4737</v>
      </c>
      <c r="O178" t="s">
        <v>398</v>
      </c>
      <c r="P178" t="s">
        <v>13</v>
      </c>
      <c r="Q178">
        <v>452</v>
      </c>
      <c r="R178">
        <v>161</v>
      </c>
      <c r="S178">
        <v>221274</v>
      </c>
      <c r="T178">
        <v>2.65</v>
      </c>
      <c r="U178">
        <v>40888</v>
      </c>
      <c r="V178">
        <f t="shared" si="8"/>
        <v>451.99927239531081</v>
      </c>
    </row>
    <row r="179" spans="1:22" x14ac:dyDescent="0.3">
      <c r="A179" s="3" t="s">
        <v>13</v>
      </c>
      <c r="B179" s="3">
        <v>1855</v>
      </c>
      <c r="C179" s="3">
        <v>200</v>
      </c>
      <c r="D179" s="3">
        <v>174</v>
      </c>
      <c r="E179" s="3">
        <v>16695</v>
      </c>
      <c r="F179" s="3">
        <v>16330</v>
      </c>
      <c r="G179" s="3">
        <v>123</v>
      </c>
      <c r="H179" s="3">
        <f t="shared" si="7"/>
        <v>2229</v>
      </c>
      <c r="O179" t="s">
        <v>281</v>
      </c>
      <c r="P179" t="s">
        <v>13</v>
      </c>
      <c r="Q179">
        <v>736</v>
      </c>
      <c r="R179">
        <v>163</v>
      </c>
      <c r="S179">
        <v>451894</v>
      </c>
      <c r="T179">
        <v>5.43</v>
      </c>
      <c r="U179">
        <v>46625</v>
      </c>
      <c r="V179">
        <f t="shared" si="8"/>
        <v>735.99963929594105</v>
      </c>
    </row>
    <row r="180" spans="1:22" x14ac:dyDescent="0.3">
      <c r="A180" s="3" t="s">
        <v>23</v>
      </c>
      <c r="B180" s="3">
        <v>1238</v>
      </c>
      <c r="C180" s="3">
        <v>366</v>
      </c>
      <c r="D180" s="3">
        <v>444</v>
      </c>
      <c r="E180" s="3">
        <v>19808</v>
      </c>
      <c r="F180" s="3">
        <v>19334</v>
      </c>
      <c r="G180" s="3">
        <v>123</v>
      </c>
      <c r="H180" s="3">
        <f t="shared" si="7"/>
        <v>2048</v>
      </c>
      <c r="O180" t="s">
        <v>213</v>
      </c>
      <c r="P180" t="s">
        <v>13</v>
      </c>
      <c r="Q180">
        <v>1004</v>
      </c>
      <c r="R180">
        <v>128</v>
      </c>
      <c r="S180">
        <v>488901</v>
      </c>
      <c r="T180">
        <v>8.09</v>
      </c>
      <c r="U180">
        <v>49558</v>
      </c>
      <c r="V180">
        <f t="shared" si="8"/>
        <v>1003.9997381883039</v>
      </c>
    </row>
    <row r="181" spans="1:22" x14ac:dyDescent="0.3">
      <c r="A181" s="3" t="s">
        <v>18</v>
      </c>
      <c r="B181" s="3">
        <v>1226</v>
      </c>
      <c r="C181" s="3">
        <v>119</v>
      </c>
      <c r="D181" s="3">
        <v>7</v>
      </c>
      <c r="E181" s="3">
        <v>14712</v>
      </c>
      <c r="F181" s="3">
        <v>14049</v>
      </c>
      <c r="G181" s="3">
        <v>123</v>
      </c>
      <c r="H181" s="3">
        <f t="shared" si="7"/>
        <v>1352</v>
      </c>
      <c r="O181" t="s">
        <v>135</v>
      </c>
      <c r="P181" t="s">
        <v>13</v>
      </c>
      <c r="Q181">
        <v>1900</v>
      </c>
      <c r="R181">
        <v>311</v>
      </c>
      <c r="S181">
        <v>25177</v>
      </c>
      <c r="T181">
        <v>2.89</v>
      </c>
      <c r="U181">
        <v>14154</v>
      </c>
      <c r="V181">
        <f t="shared" si="8"/>
        <v>1899.9876474560115</v>
      </c>
    </row>
    <row r="182" spans="1:22" x14ac:dyDescent="0.3">
      <c r="A182" s="3" t="s">
        <v>18</v>
      </c>
      <c r="B182" s="3">
        <v>4321</v>
      </c>
      <c r="C182" s="3">
        <v>874</v>
      </c>
      <c r="D182" s="3">
        <v>172</v>
      </c>
      <c r="E182" s="3">
        <v>30247</v>
      </c>
      <c r="F182" s="3">
        <v>29254</v>
      </c>
      <c r="G182" s="3">
        <v>122</v>
      </c>
      <c r="H182" s="3">
        <f t="shared" si="7"/>
        <v>5367</v>
      </c>
      <c r="O182" t="s">
        <v>399</v>
      </c>
      <c r="P182" t="s">
        <v>13</v>
      </c>
      <c r="Q182">
        <v>1495</v>
      </c>
      <c r="R182">
        <v>35</v>
      </c>
      <c r="S182">
        <v>136845</v>
      </c>
      <c r="T182">
        <v>4.4800000000000004</v>
      </c>
      <c r="U182">
        <v>39931</v>
      </c>
      <c r="V182">
        <f t="shared" si="8"/>
        <v>1494.9997442361796</v>
      </c>
    </row>
    <row r="183" spans="1:22" x14ac:dyDescent="0.3">
      <c r="A183" s="3" t="s">
        <v>38</v>
      </c>
      <c r="B183" s="3">
        <v>3559</v>
      </c>
      <c r="C183" s="3">
        <v>59</v>
      </c>
      <c r="D183" s="3">
        <v>289</v>
      </c>
      <c r="E183" s="3">
        <v>35590</v>
      </c>
      <c r="F183" s="3">
        <v>35105</v>
      </c>
      <c r="G183" s="3">
        <v>122</v>
      </c>
      <c r="H183" s="3">
        <f t="shared" si="7"/>
        <v>3907</v>
      </c>
      <c r="O183" t="s">
        <v>319</v>
      </c>
      <c r="P183" t="s">
        <v>13</v>
      </c>
      <c r="Q183">
        <v>891</v>
      </c>
      <c r="R183">
        <v>45</v>
      </c>
      <c r="S183">
        <v>95410</v>
      </c>
      <c r="T183">
        <v>8.33</v>
      </c>
      <c r="U183">
        <v>15045</v>
      </c>
      <c r="V183">
        <f t="shared" si="8"/>
        <v>890.99952835132581</v>
      </c>
    </row>
    <row r="184" spans="1:22" x14ac:dyDescent="0.3">
      <c r="A184" s="3" t="s">
        <v>38</v>
      </c>
      <c r="B184" s="3">
        <v>1741</v>
      </c>
      <c r="C184" s="3">
        <v>164</v>
      </c>
      <c r="D184" s="3">
        <v>318</v>
      </c>
      <c r="E184" s="3">
        <v>8705</v>
      </c>
      <c r="F184" s="3">
        <v>8272</v>
      </c>
      <c r="G184" s="3">
        <v>121</v>
      </c>
      <c r="H184" s="3">
        <f t="shared" si="7"/>
        <v>2223</v>
      </c>
      <c r="O184" t="s">
        <v>400</v>
      </c>
      <c r="P184" t="s">
        <v>13</v>
      </c>
      <c r="Q184">
        <v>1331</v>
      </c>
      <c r="R184">
        <v>430</v>
      </c>
      <c r="S184">
        <v>14437</v>
      </c>
      <c r="T184">
        <v>3.29</v>
      </c>
      <c r="U184">
        <v>40868</v>
      </c>
      <c r="V184">
        <f t="shared" si="8"/>
        <v>1330.9702154187157</v>
      </c>
    </row>
    <row r="185" spans="1:22" x14ac:dyDescent="0.3">
      <c r="A185" s="3" t="s">
        <v>18</v>
      </c>
      <c r="B185" s="3">
        <v>3430</v>
      </c>
      <c r="C185" s="3">
        <v>566</v>
      </c>
      <c r="D185" s="3">
        <v>164</v>
      </c>
      <c r="E185" s="3">
        <v>48020</v>
      </c>
      <c r="F185" s="3">
        <v>47305</v>
      </c>
      <c r="G185" s="3">
        <v>120</v>
      </c>
      <c r="H185" s="3">
        <f t="shared" si="7"/>
        <v>4160</v>
      </c>
      <c r="O185" t="s">
        <v>401</v>
      </c>
      <c r="P185" t="s">
        <v>13</v>
      </c>
      <c r="Q185">
        <v>1166</v>
      </c>
      <c r="R185">
        <v>442</v>
      </c>
      <c r="S185">
        <v>336949</v>
      </c>
      <c r="T185">
        <v>4.68</v>
      </c>
      <c r="U185">
        <v>7705</v>
      </c>
      <c r="V185">
        <f t="shared" si="8"/>
        <v>1165.9986882287824</v>
      </c>
    </row>
    <row r="186" spans="1:22" x14ac:dyDescent="0.3">
      <c r="A186" s="3" t="s">
        <v>23</v>
      </c>
      <c r="B186" s="3">
        <v>1950</v>
      </c>
      <c r="C186" s="3">
        <v>295</v>
      </c>
      <c r="D186" s="3">
        <v>478</v>
      </c>
      <c r="E186" s="3">
        <v>37050</v>
      </c>
      <c r="F186" s="3">
        <v>36272</v>
      </c>
      <c r="G186" s="3">
        <v>119</v>
      </c>
      <c r="H186" s="3">
        <f t="shared" si="7"/>
        <v>2723</v>
      </c>
      <c r="O186" t="s">
        <v>93</v>
      </c>
      <c r="P186" t="s">
        <v>13</v>
      </c>
      <c r="Q186">
        <v>1411</v>
      </c>
      <c r="R186">
        <v>186</v>
      </c>
      <c r="S186">
        <v>461669</v>
      </c>
      <c r="T186">
        <v>3.72</v>
      </c>
      <c r="U186">
        <v>43999</v>
      </c>
      <c r="V186">
        <f t="shared" si="8"/>
        <v>1410.9995971139497</v>
      </c>
    </row>
    <row r="187" spans="1:22" x14ac:dyDescent="0.3">
      <c r="A187" s="3" t="s">
        <v>13</v>
      </c>
      <c r="B187" s="3">
        <v>1509</v>
      </c>
      <c r="C187" s="3">
        <v>88</v>
      </c>
      <c r="D187" s="3">
        <v>163</v>
      </c>
      <c r="E187" s="3">
        <v>30180</v>
      </c>
      <c r="F187" s="3">
        <v>29689</v>
      </c>
      <c r="G187" s="3">
        <v>119</v>
      </c>
      <c r="H187" s="3">
        <f t="shared" si="7"/>
        <v>1760</v>
      </c>
      <c r="O187" t="s">
        <v>402</v>
      </c>
      <c r="P187" t="s">
        <v>13</v>
      </c>
      <c r="Q187">
        <v>152</v>
      </c>
      <c r="R187">
        <v>355</v>
      </c>
      <c r="S187">
        <v>270766</v>
      </c>
      <c r="T187">
        <v>9.48</v>
      </c>
      <c r="U187">
        <v>18001</v>
      </c>
      <c r="V187">
        <f t="shared" si="8"/>
        <v>151.99868890481079</v>
      </c>
    </row>
    <row r="188" spans="1:22" x14ac:dyDescent="0.3">
      <c r="A188" s="3" t="s">
        <v>38</v>
      </c>
      <c r="B188" s="3">
        <v>4799</v>
      </c>
      <c r="C188" s="3">
        <v>694</v>
      </c>
      <c r="D188" s="3">
        <v>289</v>
      </c>
      <c r="E188" s="3">
        <v>43191</v>
      </c>
      <c r="F188" s="3">
        <v>42228</v>
      </c>
      <c r="G188" s="3">
        <v>118</v>
      </c>
      <c r="H188" s="3">
        <f t="shared" si="7"/>
        <v>5782</v>
      </c>
      <c r="O188" t="s">
        <v>275</v>
      </c>
      <c r="P188" t="s">
        <v>13</v>
      </c>
      <c r="Q188">
        <v>1707</v>
      </c>
      <c r="R188">
        <v>263</v>
      </c>
      <c r="S188">
        <v>485280</v>
      </c>
      <c r="T188">
        <v>9.0299999999999994</v>
      </c>
      <c r="U188">
        <v>24494</v>
      </c>
      <c r="V188">
        <f t="shared" si="8"/>
        <v>1706.9994580448401</v>
      </c>
    </row>
    <row r="189" spans="1:22" x14ac:dyDescent="0.3">
      <c r="A189" s="3" t="s">
        <v>23</v>
      </c>
      <c r="B189" s="3">
        <v>4672</v>
      </c>
      <c r="C189" s="3">
        <v>325</v>
      </c>
      <c r="D189" s="3">
        <v>32</v>
      </c>
      <c r="E189" s="3">
        <v>88768</v>
      </c>
      <c r="F189" s="3">
        <v>87833</v>
      </c>
      <c r="G189" s="3">
        <v>118</v>
      </c>
      <c r="H189" s="3">
        <f t="shared" si="7"/>
        <v>5029</v>
      </c>
      <c r="O189" t="s">
        <v>210</v>
      </c>
      <c r="P189" t="s">
        <v>13</v>
      </c>
      <c r="Q189">
        <v>1662</v>
      </c>
      <c r="R189">
        <v>487</v>
      </c>
      <c r="S189">
        <v>105980</v>
      </c>
      <c r="T189">
        <v>9.08</v>
      </c>
      <c r="U189">
        <v>22996</v>
      </c>
      <c r="V189">
        <f t="shared" si="8"/>
        <v>1661.9954047933572</v>
      </c>
    </row>
    <row r="190" spans="1:22" x14ac:dyDescent="0.3">
      <c r="A190" s="3" t="s">
        <v>13</v>
      </c>
      <c r="B190" s="3">
        <v>80</v>
      </c>
      <c r="C190" s="3">
        <v>362</v>
      </c>
      <c r="D190" s="3">
        <v>80</v>
      </c>
      <c r="E190" s="3">
        <v>1040</v>
      </c>
      <c r="F190" s="3">
        <v>349</v>
      </c>
      <c r="G190" s="3">
        <v>117</v>
      </c>
      <c r="H190" s="3">
        <f t="shared" si="7"/>
        <v>522</v>
      </c>
      <c r="O190" t="s">
        <v>131</v>
      </c>
      <c r="P190" t="s">
        <v>13</v>
      </c>
      <c r="Q190">
        <v>1063</v>
      </c>
      <c r="R190">
        <v>47</v>
      </c>
      <c r="S190">
        <v>464239</v>
      </c>
      <c r="T190">
        <v>6.58</v>
      </c>
      <c r="U190">
        <v>39031</v>
      </c>
      <c r="V190">
        <f t="shared" si="8"/>
        <v>1062.9998987590443</v>
      </c>
    </row>
    <row r="191" spans="1:22" x14ac:dyDescent="0.3">
      <c r="A191" s="3" t="s">
        <v>38</v>
      </c>
      <c r="B191" s="3">
        <v>1970</v>
      </c>
      <c r="C191" s="3">
        <v>675</v>
      </c>
      <c r="D191" s="3">
        <v>478</v>
      </c>
      <c r="E191" s="3">
        <v>9850</v>
      </c>
      <c r="F191" s="3">
        <v>8924</v>
      </c>
      <c r="G191" s="3">
        <v>117</v>
      </c>
      <c r="H191" s="3">
        <f t="shared" si="7"/>
        <v>3123</v>
      </c>
      <c r="O191" t="s">
        <v>355</v>
      </c>
      <c r="P191" t="s">
        <v>13</v>
      </c>
      <c r="Q191">
        <v>510</v>
      </c>
      <c r="R191">
        <v>195</v>
      </c>
      <c r="S191">
        <v>224534</v>
      </c>
      <c r="T191">
        <v>9.4</v>
      </c>
      <c r="U191">
        <v>30987</v>
      </c>
      <c r="V191">
        <f t="shared" si="8"/>
        <v>509.99913153464507</v>
      </c>
    </row>
    <row r="192" spans="1:22" x14ac:dyDescent="0.3">
      <c r="A192" s="3" t="s">
        <v>23</v>
      </c>
      <c r="B192" s="3">
        <v>4054</v>
      </c>
      <c r="C192" s="3">
        <v>389</v>
      </c>
      <c r="D192" s="3">
        <v>493</v>
      </c>
      <c r="E192" s="3">
        <v>64864</v>
      </c>
      <c r="F192" s="3">
        <v>64383</v>
      </c>
      <c r="G192" s="3">
        <v>117</v>
      </c>
      <c r="H192" s="3">
        <f t="shared" si="7"/>
        <v>4936</v>
      </c>
      <c r="O192" t="s">
        <v>403</v>
      </c>
      <c r="P192" t="s">
        <v>13</v>
      </c>
      <c r="Q192">
        <v>1658</v>
      </c>
      <c r="R192">
        <v>416</v>
      </c>
      <c r="S192">
        <v>98397</v>
      </c>
      <c r="T192">
        <v>6.11</v>
      </c>
      <c r="U192">
        <v>11383</v>
      </c>
      <c r="V192">
        <f t="shared" si="8"/>
        <v>1657.9957722288282</v>
      </c>
    </row>
    <row r="193" spans="1:22" x14ac:dyDescent="0.3">
      <c r="A193" s="3" t="s">
        <v>13</v>
      </c>
      <c r="B193" s="3">
        <v>1171</v>
      </c>
      <c r="C193" s="3">
        <v>286</v>
      </c>
      <c r="D193" s="3">
        <v>231</v>
      </c>
      <c r="E193" s="3">
        <v>22249</v>
      </c>
      <c r="F193" s="3">
        <v>21282</v>
      </c>
      <c r="G193" s="3">
        <v>114</v>
      </c>
      <c r="H193" s="3">
        <f t="shared" si="7"/>
        <v>1688</v>
      </c>
      <c r="O193" t="s">
        <v>404</v>
      </c>
      <c r="P193" t="s">
        <v>13</v>
      </c>
      <c r="Q193">
        <v>1596</v>
      </c>
      <c r="R193">
        <v>211</v>
      </c>
      <c r="S193">
        <v>17380</v>
      </c>
      <c r="T193">
        <v>8.64</v>
      </c>
      <c r="U193">
        <v>35801</v>
      </c>
      <c r="V193">
        <f t="shared" si="8"/>
        <v>1595.9878596087458</v>
      </c>
    </row>
    <row r="194" spans="1:22" x14ac:dyDescent="0.3">
      <c r="A194" s="3" t="s">
        <v>13</v>
      </c>
      <c r="B194" s="3">
        <v>2070</v>
      </c>
      <c r="C194" s="3">
        <v>275</v>
      </c>
      <c r="D194" s="3">
        <v>386</v>
      </c>
      <c r="E194" s="3">
        <v>39330</v>
      </c>
      <c r="F194" s="3">
        <v>38627</v>
      </c>
      <c r="G194" s="3">
        <v>114</v>
      </c>
      <c r="H194" s="3">
        <f t="shared" si="7"/>
        <v>2731</v>
      </c>
      <c r="O194" t="s">
        <v>128</v>
      </c>
      <c r="P194" t="s">
        <v>13</v>
      </c>
      <c r="Q194">
        <v>442</v>
      </c>
      <c r="R194">
        <v>53</v>
      </c>
      <c r="S194">
        <v>441931</v>
      </c>
      <c r="T194">
        <v>1.87</v>
      </c>
      <c r="U194">
        <v>20059</v>
      </c>
      <c r="V194">
        <f t="shared" ref="V194:V201" si="9">Q194-R194/S194</f>
        <v>441.99988007177592</v>
      </c>
    </row>
    <row r="195" spans="1:22" x14ac:dyDescent="0.3">
      <c r="A195" s="3" t="s">
        <v>18</v>
      </c>
      <c r="B195" s="3">
        <v>1407</v>
      </c>
      <c r="C195" s="3">
        <v>400</v>
      </c>
      <c r="D195" s="3">
        <v>351</v>
      </c>
      <c r="E195" s="3">
        <v>16884</v>
      </c>
      <c r="F195" s="3">
        <v>15954</v>
      </c>
      <c r="G195" s="3">
        <v>113</v>
      </c>
      <c r="H195" s="3">
        <f t="shared" ref="H195:H258" si="10">SUM(B195:D195)</f>
        <v>2158</v>
      </c>
      <c r="O195" t="s">
        <v>405</v>
      </c>
      <c r="P195" t="s">
        <v>13</v>
      </c>
      <c r="Q195">
        <v>1957</v>
      </c>
      <c r="R195">
        <v>490</v>
      </c>
      <c r="S195">
        <v>435726</v>
      </c>
      <c r="T195">
        <v>4.7300000000000004</v>
      </c>
      <c r="U195">
        <v>15969</v>
      </c>
      <c r="V195">
        <f t="shared" si="9"/>
        <v>1956.9988754400702</v>
      </c>
    </row>
    <row r="196" spans="1:22" x14ac:dyDescent="0.3">
      <c r="A196" s="3" t="s">
        <v>13</v>
      </c>
      <c r="B196" s="3">
        <v>1094</v>
      </c>
      <c r="C196" s="3">
        <v>472</v>
      </c>
      <c r="D196" s="3">
        <v>21</v>
      </c>
      <c r="E196" s="3">
        <v>9846</v>
      </c>
      <c r="F196" s="3">
        <v>9609</v>
      </c>
      <c r="G196" s="3">
        <v>112</v>
      </c>
      <c r="H196" s="3">
        <f t="shared" si="10"/>
        <v>1587</v>
      </c>
      <c r="O196" t="s">
        <v>304</v>
      </c>
      <c r="P196" t="s">
        <v>13</v>
      </c>
      <c r="Q196">
        <v>623</v>
      </c>
      <c r="R196">
        <v>414</v>
      </c>
      <c r="S196">
        <v>290354</v>
      </c>
      <c r="T196">
        <v>6.49</v>
      </c>
      <c r="U196">
        <v>39923</v>
      </c>
      <c r="V196">
        <f t="shared" si="9"/>
        <v>622.99857415430824</v>
      </c>
    </row>
    <row r="197" spans="1:22" x14ac:dyDescent="0.3">
      <c r="A197" s="3" t="s">
        <v>13</v>
      </c>
      <c r="B197" s="3">
        <v>2754</v>
      </c>
      <c r="C197" s="3">
        <v>130</v>
      </c>
      <c r="D197" s="3">
        <v>90</v>
      </c>
      <c r="E197" s="3">
        <v>22032</v>
      </c>
      <c r="F197" s="3">
        <v>21288</v>
      </c>
      <c r="G197" s="3">
        <v>112</v>
      </c>
      <c r="H197" s="3">
        <f t="shared" si="10"/>
        <v>2974</v>
      </c>
      <c r="O197" t="s">
        <v>406</v>
      </c>
      <c r="P197" t="s">
        <v>13</v>
      </c>
      <c r="Q197">
        <v>520</v>
      </c>
      <c r="R197">
        <v>375</v>
      </c>
      <c r="S197">
        <v>369525</v>
      </c>
      <c r="T197">
        <v>6.54</v>
      </c>
      <c r="U197">
        <v>20733</v>
      </c>
      <c r="V197">
        <f t="shared" si="9"/>
        <v>519.99898518368173</v>
      </c>
    </row>
    <row r="198" spans="1:22" x14ac:dyDescent="0.3">
      <c r="A198" s="3" t="s">
        <v>23</v>
      </c>
      <c r="B198" s="3">
        <v>1076</v>
      </c>
      <c r="C198" s="3">
        <v>313</v>
      </c>
      <c r="D198" s="3">
        <v>306</v>
      </c>
      <c r="E198" s="3">
        <v>11836</v>
      </c>
      <c r="F198" s="3">
        <v>11596</v>
      </c>
      <c r="G198" s="3">
        <v>104</v>
      </c>
      <c r="H198" s="3">
        <f t="shared" si="10"/>
        <v>1695</v>
      </c>
      <c r="O198" t="s">
        <v>407</v>
      </c>
      <c r="P198" t="s">
        <v>13</v>
      </c>
      <c r="Q198">
        <v>1707</v>
      </c>
      <c r="R198">
        <v>74</v>
      </c>
      <c r="S198">
        <v>270958</v>
      </c>
      <c r="T198">
        <v>3.09</v>
      </c>
      <c r="U198">
        <v>14090</v>
      </c>
      <c r="V198">
        <f t="shared" si="9"/>
        <v>1706.999726894943</v>
      </c>
    </row>
    <row r="199" spans="1:22" x14ac:dyDescent="0.3">
      <c r="A199" s="3" t="s">
        <v>13</v>
      </c>
      <c r="B199" s="3">
        <v>4275</v>
      </c>
      <c r="C199" s="3">
        <v>680</v>
      </c>
      <c r="D199" s="3">
        <v>385</v>
      </c>
      <c r="E199" s="3">
        <v>64125</v>
      </c>
      <c r="F199" s="3">
        <v>63650</v>
      </c>
      <c r="G199" s="3">
        <v>104</v>
      </c>
      <c r="H199" s="3">
        <f t="shared" si="10"/>
        <v>5340</v>
      </c>
      <c r="O199" t="s">
        <v>76</v>
      </c>
      <c r="P199" t="s">
        <v>13</v>
      </c>
      <c r="Q199">
        <v>777</v>
      </c>
      <c r="R199">
        <v>140</v>
      </c>
      <c r="S199">
        <v>11435</v>
      </c>
      <c r="T199">
        <v>1.6</v>
      </c>
      <c r="U199">
        <v>6832</v>
      </c>
      <c r="V199">
        <f t="shared" si="9"/>
        <v>776.98775688675119</v>
      </c>
    </row>
    <row r="200" spans="1:22" x14ac:dyDescent="0.3">
      <c r="A200" s="3" t="s">
        <v>38</v>
      </c>
      <c r="B200" s="3">
        <v>1071</v>
      </c>
      <c r="C200" s="3">
        <v>519</v>
      </c>
      <c r="D200" s="3">
        <v>22</v>
      </c>
      <c r="E200" s="3">
        <v>16065</v>
      </c>
      <c r="F200" s="3">
        <v>15865</v>
      </c>
      <c r="G200" s="3">
        <v>103</v>
      </c>
      <c r="H200" s="3">
        <f t="shared" si="10"/>
        <v>1612</v>
      </c>
      <c r="O200" t="s">
        <v>329</v>
      </c>
      <c r="P200" t="s">
        <v>13</v>
      </c>
      <c r="Q200">
        <v>1035</v>
      </c>
      <c r="R200">
        <v>171</v>
      </c>
      <c r="S200">
        <v>148477</v>
      </c>
      <c r="T200">
        <v>5.21</v>
      </c>
      <c r="U200">
        <v>7541</v>
      </c>
      <c r="V200">
        <f t="shared" si="9"/>
        <v>1034.9988483064717</v>
      </c>
    </row>
    <row r="201" spans="1:22" x14ac:dyDescent="0.3">
      <c r="A201" s="3" t="s">
        <v>23</v>
      </c>
      <c r="B201" s="3">
        <v>3731</v>
      </c>
      <c r="C201" s="3">
        <v>115</v>
      </c>
      <c r="D201" s="3">
        <v>135</v>
      </c>
      <c r="E201" s="3">
        <v>55965</v>
      </c>
      <c r="F201" s="3">
        <v>55436</v>
      </c>
      <c r="G201" s="3">
        <v>103</v>
      </c>
      <c r="H201" s="3">
        <f t="shared" si="10"/>
        <v>3981</v>
      </c>
      <c r="O201" t="s">
        <v>252</v>
      </c>
      <c r="P201" t="s">
        <v>13</v>
      </c>
      <c r="Q201">
        <v>119</v>
      </c>
      <c r="R201">
        <v>456</v>
      </c>
      <c r="S201">
        <v>82558</v>
      </c>
      <c r="T201">
        <v>6.81</v>
      </c>
      <c r="U201">
        <v>12174</v>
      </c>
      <c r="V201">
        <f t="shared" si="9"/>
        <v>118.994476610383</v>
      </c>
    </row>
    <row r="202" spans="1:22" x14ac:dyDescent="0.3">
      <c r="A202" s="3" t="s">
        <v>13</v>
      </c>
      <c r="B202" s="3">
        <v>4188</v>
      </c>
      <c r="C202" s="3">
        <v>942</v>
      </c>
      <c r="D202" s="3">
        <v>118</v>
      </c>
      <c r="E202" s="3">
        <v>20940</v>
      </c>
      <c r="F202" s="3">
        <v>20471</v>
      </c>
      <c r="G202" s="3">
        <v>102</v>
      </c>
      <c r="H202" s="3">
        <f t="shared" si="10"/>
        <v>5248</v>
      </c>
    </row>
    <row r="203" spans="1:22" x14ac:dyDescent="0.3">
      <c r="A203" s="3" t="s">
        <v>23</v>
      </c>
      <c r="B203" s="3">
        <v>3092</v>
      </c>
      <c r="C203" s="3">
        <v>106</v>
      </c>
      <c r="D203" s="3">
        <v>291</v>
      </c>
      <c r="E203" s="3">
        <v>27828</v>
      </c>
      <c r="F203" s="3">
        <v>27217</v>
      </c>
      <c r="G203" s="3">
        <v>102</v>
      </c>
      <c r="H203" s="3">
        <f t="shared" si="10"/>
        <v>3489</v>
      </c>
    </row>
    <row r="204" spans="1:22" x14ac:dyDescent="0.3">
      <c r="A204" s="3" t="s">
        <v>18</v>
      </c>
      <c r="B204" s="3">
        <v>4712</v>
      </c>
      <c r="C204" s="3">
        <v>568</v>
      </c>
      <c r="D204" s="3">
        <v>127</v>
      </c>
      <c r="E204" s="3">
        <v>84816</v>
      </c>
      <c r="F204" s="3">
        <v>84691</v>
      </c>
      <c r="G204" s="3">
        <v>100</v>
      </c>
      <c r="H204" s="3">
        <f t="shared" si="10"/>
        <v>5407</v>
      </c>
    </row>
    <row r="205" spans="1:22" x14ac:dyDescent="0.3">
      <c r="A205" s="3" t="s">
        <v>23</v>
      </c>
      <c r="B205" s="3">
        <v>1121</v>
      </c>
      <c r="C205" s="3">
        <v>135</v>
      </c>
      <c r="D205" s="3">
        <v>18</v>
      </c>
      <c r="E205" s="3">
        <v>15694</v>
      </c>
      <c r="F205" s="3">
        <v>14957</v>
      </c>
      <c r="G205" s="3">
        <v>99</v>
      </c>
      <c r="H205" s="3">
        <f t="shared" si="10"/>
        <v>1274</v>
      </c>
    </row>
    <row r="206" spans="1:22" x14ac:dyDescent="0.3">
      <c r="A206" s="3" t="s">
        <v>23</v>
      </c>
      <c r="B206" s="3">
        <v>1108</v>
      </c>
      <c r="C206" s="3">
        <v>177</v>
      </c>
      <c r="D206" s="3">
        <v>212</v>
      </c>
      <c r="E206" s="3">
        <v>8864</v>
      </c>
      <c r="F206" s="3">
        <v>8710</v>
      </c>
      <c r="G206" s="3">
        <v>97</v>
      </c>
      <c r="H206" s="3">
        <f t="shared" si="10"/>
        <v>1497</v>
      </c>
    </row>
    <row r="207" spans="1:22" x14ac:dyDescent="0.3">
      <c r="A207" s="3" t="s">
        <v>18</v>
      </c>
      <c r="B207" s="3">
        <v>562</v>
      </c>
      <c r="C207" s="3">
        <v>158</v>
      </c>
      <c r="D207" s="3">
        <v>149</v>
      </c>
      <c r="E207" s="3">
        <v>3372</v>
      </c>
      <c r="F207" s="3">
        <v>2940</v>
      </c>
      <c r="G207" s="3">
        <v>93</v>
      </c>
      <c r="H207" s="3">
        <f t="shared" si="10"/>
        <v>869</v>
      </c>
    </row>
    <row r="208" spans="1:22" x14ac:dyDescent="0.3">
      <c r="A208" s="3" t="s">
        <v>38</v>
      </c>
      <c r="B208" s="3">
        <v>3095</v>
      </c>
      <c r="C208" s="3">
        <v>39</v>
      </c>
      <c r="D208" s="3">
        <v>78</v>
      </c>
      <c r="E208" s="3">
        <v>55710</v>
      </c>
      <c r="F208" s="3">
        <v>54808</v>
      </c>
      <c r="G208" s="3">
        <v>93</v>
      </c>
      <c r="H208" s="3">
        <f t="shared" si="10"/>
        <v>3212</v>
      </c>
    </row>
    <row r="209" spans="1:8" x14ac:dyDescent="0.3">
      <c r="A209" s="3" t="s">
        <v>18</v>
      </c>
      <c r="B209" s="3">
        <v>3564</v>
      </c>
      <c r="C209" s="3">
        <v>629</v>
      </c>
      <c r="D209" s="3">
        <v>177</v>
      </c>
      <c r="E209" s="3">
        <v>60588</v>
      </c>
      <c r="F209" s="3">
        <v>59627</v>
      </c>
      <c r="G209" s="3">
        <v>92</v>
      </c>
      <c r="H209" s="3">
        <f t="shared" si="10"/>
        <v>4370</v>
      </c>
    </row>
    <row r="210" spans="1:8" x14ac:dyDescent="0.3">
      <c r="A210" s="3" t="s">
        <v>18</v>
      </c>
      <c r="B210" s="3">
        <v>780</v>
      </c>
      <c r="C210" s="3">
        <v>928</v>
      </c>
      <c r="D210" s="3">
        <v>301</v>
      </c>
      <c r="E210" s="3">
        <v>8580</v>
      </c>
      <c r="F210" s="3">
        <v>8081</v>
      </c>
      <c r="G210" s="3">
        <v>91</v>
      </c>
      <c r="H210" s="3">
        <f t="shared" si="10"/>
        <v>2009</v>
      </c>
    </row>
    <row r="211" spans="1:8" x14ac:dyDescent="0.3">
      <c r="A211" s="3" t="s">
        <v>18</v>
      </c>
      <c r="B211" s="3">
        <v>4731</v>
      </c>
      <c r="C211" s="3">
        <v>173</v>
      </c>
      <c r="D211" s="3">
        <v>276</v>
      </c>
      <c r="E211" s="3">
        <v>28386</v>
      </c>
      <c r="F211" s="3">
        <v>28185</v>
      </c>
      <c r="G211" s="3">
        <v>89</v>
      </c>
      <c r="H211" s="3">
        <f t="shared" si="10"/>
        <v>5180</v>
      </c>
    </row>
    <row r="212" spans="1:8" x14ac:dyDescent="0.3">
      <c r="A212" s="3" t="s">
        <v>18</v>
      </c>
      <c r="B212" s="3">
        <v>4872</v>
      </c>
      <c r="C212" s="3">
        <v>925</v>
      </c>
      <c r="D212" s="3">
        <v>176</v>
      </c>
      <c r="E212" s="3">
        <v>82824</v>
      </c>
      <c r="F212" s="3">
        <v>82543</v>
      </c>
      <c r="G212" s="3">
        <v>89</v>
      </c>
      <c r="H212" s="3">
        <f t="shared" si="10"/>
        <v>5973</v>
      </c>
    </row>
    <row r="213" spans="1:8" x14ac:dyDescent="0.3">
      <c r="A213" s="3" t="s">
        <v>13</v>
      </c>
      <c r="B213" s="3">
        <v>296</v>
      </c>
      <c r="C213" s="3">
        <v>60</v>
      </c>
      <c r="D213" s="3">
        <v>141</v>
      </c>
      <c r="E213" s="3">
        <v>5624</v>
      </c>
      <c r="F213" s="3">
        <v>5239</v>
      </c>
      <c r="G213" s="3">
        <v>88</v>
      </c>
      <c r="H213" s="3">
        <f t="shared" si="10"/>
        <v>497</v>
      </c>
    </row>
    <row r="214" spans="1:8" x14ac:dyDescent="0.3">
      <c r="A214" s="3" t="s">
        <v>18</v>
      </c>
      <c r="B214" s="3">
        <v>4126</v>
      </c>
      <c r="C214" s="3">
        <v>426</v>
      </c>
      <c r="D214" s="3">
        <v>486</v>
      </c>
      <c r="E214" s="3">
        <v>78394</v>
      </c>
      <c r="F214" s="3">
        <v>77798</v>
      </c>
      <c r="G214" s="3">
        <v>88</v>
      </c>
      <c r="H214" s="3">
        <f t="shared" si="10"/>
        <v>5038</v>
      </c>
    </row>
    <row r="215" spans="1:8" x14ac:dyDescent="0.3">
      <c r="A215" s="3" t="s">
        <v>13</v>
      </c>
      <c r="B215" s="3">
        <v>3138</v>
      </c>
      <c r="C215" s="3">
        <v>123</v>
      </c>
      <c r="D215" s="3">
        <v>291</v>
      </c>
      <c r="E215" s="3">
        <v>28242</v>
      </c>
      <c r="F215" s="3">
        <v>27550</v>
      </c>
      <c r="G215" s="3">
        <v>87</v>
      </c>
      <c r="H215" s="3">
        <f t="shared" si="10"/>
        <v>3552</v>
      </c>
    </row>
    <row r="216" spans="1:8" x14ac:dyDescent="0.3">
      <c r="A216" s="3" t="s">
        <v>23</v>
      </c>
      <c r="B216" s="3">
        <v>941</v>
      </c>
      <c r="C216" s="3">
        <v>121</v>
      </c>
      <c r="D216" s="3">
        <v>458</v>
      </c>
      <c r="E216" s="3">
        <v>14115</v>
      </c>
      <c r="F216" s="3">
        <v>13838</v>
      </c>
      <c r="G216" s="3">
        <v>87</v>
      </c>
      <c r="H216" s="3">
        <f t="shared" si="10"/>
        <v>1520</v>
      </c>
    </row>
    <row r="217" spans="1:8" x14ac:dyDescent="0.3">
      <c r="A217" s="3" t="s">
        <v>18</v>
      </c>
      <c r="B217" s="3">
        <v>3452</v>
      </c>
      <c r="C217" s="3">
        <v>377</v>
      </c>
      <c r="D217" s="3">
        <v>360</v>
      </c>
      <c r="E217" s="3">
        <v>55232</v>
      </c>
      <c r="F217" s="3">
        <v>55075</v>
      </c>
      <c r="G217" s="3">
        <v>87</v>
      </c>
      <c r="H217" s="3">
        <f t="shared" si="10"/>
        <v>4189</v>
      </c>
    </row>
    <row r="218" spans="1:8" x14ac:dyDescent="0.3">
      <c r="A218" s="3" t="s">
        <v>38</v>
      </c>
      <c r="B218" s="3">
        <v>1813</v>
      </c>
      <c r="C218" s="3">
        <v>623</v>
      </c>
      <c r="D218" s="3">
        <v>72</v>
      </c>
      <c r="E218" s="3">
        <v>19943</v>
      </c>
      <c r="F218" s="3">
        <v>18959</v>
      </c>
      <c r="G218" s="3">
        <v>85</v>
      </c>
      <c r="H218" s="3">
        <f t="shared" si="10"/>
        <v>2508</v>
      </c>
    </row>
    <row r="219" spans="1:8" x14ac:dyDescent="0.3">
      <c r="A219" s="3" t="s">
        <v>38</v>
      </c>
      <c r="B219" s="3">
        <v>904</v>
      </c>
      <c r="C219" s="3">
        <v>973</v>
      </c>
      <c r="D219" s="3">
        <v>63</v>
      </c>
      <c r="E219" s="3">
        <v>11752</v>
      </c>
      <c r="F219" s="3">
        <v>11580</v>
      </c>
      <c r="G219" s="3">
        <v>84</v>
      </c>
      <c r="H219" s="3">
        <f t="shared" si="10"/>
        <v>1940</v>
      </c>
    </row>
    <row r="220" spans="1:8" x14ac:dyDescent="0.3">
      <c r="A220" s="3" t="s">
        <v>18</v>
      </c>
      <c r="B220" s="3">
        <v>3663</v>
      </c>
      <c r="C220" s="3">
        <v>17</v>
      </c>
      <c r="D220" s="3">
        <v>295</v>
      </c>
      <c r="E220" s="3">
        <v>51282</v>
      </c>
      <c r="F220" s="3">
        <v>50567</v>
      </c>
      <c r="G220" s="3">
        <v>84</v>
      </c>
      <c r="H220" s="3">
        <f t="shared" si="10"/>
        <v>3975</v>
      </c>
    </row>
    <row r="221" spans="1:8" x14ac:dyDescent="0.3">
      <c r="A221" s="3" t="s">
        <v>13</v>
      </c>
      <c r="B221" s="3">
        <v>3809</v>
      </c>
      <c r="C221" s="3">
        <v>273</v>
      </c>
      <c r="D221" s="3">
        <v>200</v>
      </c>
      <c r="E221" s="3">
        <v>34281</v>
      </c>
      <c r="F221" s="3">
        <v>33534</v>
      </c>
      <c r="G221" s="3">
        <v>83</v>
      </c>
      <c r="H221" s="3">
        <f t="shared" si="10"/>
        <v>4282</v>
      </c>
    </row>
    <row r="222" spans="1:8" x14ac:dyDescent="0.3">
      <c r="A222" s="3" t="s">
        <v>38</v>
      </c>
      <c r="B222" s="3">
        <v>4838</v>
      </c>
      <c r="C222" s="3">
        <v>640</v>
      </c>
      <c r="D222" s="3">
        <v>128</v>
      </c>
      <c r="E222" s="3">
        <v>72570</v>
      </c>
      <c r="F222" s="3">
        <v>72396</v>
      </c>
      <c r="G222" s="3">
        <v>83</v>
      </c>
      <c r="H222" s="3">
        <f t="shared" si="10"/>
        <v>5606</v>
      </c>
    </row>
    <row r="223" spans="1:8" x14ac:dyDescent="0.3">
      <c r="A223" s="3" t="s">
        <v>38</v>
      </c>
      <c r="B223" s="3">
        <v>1164</v>
      </c>
      <c r="C223" s="3">
        <v>616</v>
      </c>
      <c r="D223" s="3">
        <v>324</v>
      </c>
      <c r="E223" s="3">
        <v>6984</v>
      </c>
      <c r="F223" s="3">
        <v>6636</v>
      </c>
      <c r="G223" s="3">
        <v>82</v>
      </c>
      <c r="H223" s="3">
        <f t="shared" si="10"/>
        <v>2104</v>
      </c>
    </row>
    <row r="224" spans="1:8" x14ac:dyDescent="0.3">
      <c r="A224" s="3" t="s">
        <v>38</v>
      </c>
      <c r="B224" s="3">
        <v>432</v>
      </c>
      <c r="C224" s="3">
        <v>624</v>
      </c>
      <c r="D224" s="3">
        <v>123</v>
      </c>
      <c r="E224" s="3">
        <v>6912</v>
      </c>
      <c r="F224" s="3">
        <v>6259</v>
      </c>
      <c r="G224" s="3">
        <v>79</v>
      </c>
      <c r="H224" s="3">
        <f t="shared" si="10"/>
        <v>1179</v>
      </c>
    </row>
    <row r="225" spans="1:8" x14ac:dyDescent="0.3">
      <c r="A225" s="3" t="s">
        <v>23</v>
      </c>
      <c r="B225" s="3">
        <v>1702</v>
      </c>
      <c r="C225" s="3">
        <v>750</v>
      </c>
      <c r="D225" s="3">
        <v>179</v>
      </c>
      <c r="E225" s="3">
        <v>34040</v>
      </c>
      <c r="F225" s="3">
        <v>33174</v>
      </c>
      <c r="G225" s="3">
        <v>76</v>
      </c>
      <c r="H225" s="3">
        <f t="shared" si="10"/>
        <v>2631</v>
      </c>
    </row>
    <row r="226" spans="1:8" x14ac:dyDescent="0.3">
      <c r="A226" s="3" t="s">
        <v>38</v>
      </c>
      <c r="B226" s="3">
        <v>3770</v>
      </c>
      <c r="C226" s="3">
        <v>917</v>
      </c>
      <c r="D226" s="3">
        <v>129</v>
      </c>
      <c r="E226" s="3">
        <v>71630</v>
      </c>
      <c r="F226" s="3">
        <v>71322</v>
      </c>
      <c r="G226" s="3">
        <v>76</v>
      </c>
      <c r="H226" s="3">
        <f t="shared" si="10"/>
        <v>4816</v>
      </c>
    </row>
    <row r="227" spans="1:8" x14ac:dyDescent="0.3">
      <c r="A227" s="3" t="s">
        <v>18</v>
      </c>
      <c r="B227" s="3">
        <v>2878</v>
      </c>
      <c r="C227" s="3">
        <v>248</v>
      </c>
      <c r="D227" s="3">
        <v>416</v>
      </c>
      <c r="E227" s="3">
        <v>43170</v>
      </c>
      <c r="F227" s="3">
        <v>42667</v>
      </c>
      <c r="G227" s="3">
        <v>75</v>
      </c>
      <c r="H227" s="3">
        <f t="shared" si="10"/>
        <v>3542</v>
      </c>
    </row>
    <row r="228" spans="1:8" x14ac:dyDescent="0.3">
      <c r="A228" s="3" t="s">
        <v>38</v>
      </c>
      <c r="B228" s="3">
        <v>2610</v>
      </c>
      <c r="C228" s="3">
        <v>126</v>
      </c>
      <c r="D228" s="3">
        <v>288</v>
      </c>
      <c r="E228" s="3">
        <v>15660</v>
      </c>
      <c r="F228" s="3">
        <v>15145</v>
      </c>
      <c r="G228" s="3">
        <v>73</v>
      </c>
      <c r="H228" s="3">
        <f t="shared" si="10"/>
        <v>3024</v>
      </c>
    </row>
    <row r="229" spans="1:8" x14ac:dyDescent="0.3">
      <c r="A229" s="3" t="s">
        <v>38</v>
      </c>
      <c r="B229" s="3">
        <v>4523</v>
      </c>
      <c r="C229" s="3">
        <v>61</v>
      </c>
      <c r="D229" s="3">
        <v>157</v>
      </c>
      <c r="E229" s="3">
        <v>49753</v>
      </c>
      <c r="F229" s="3">
        <v>49329</v>
      </c>
      <c r="G229" s="3">
        <v>71</v>
      </c>
      <c r="H229" s="3">
        <f t="shared" si="10"/>
        <v>4741</v>
      </c>
    </row>
    <row r="230" spans="1:8" x14ac:dyDescent="0.3">
      <c r="A230" s="3" t="s">
        <v>18</v>
      </c>
      <c r="B230" s="3">
        <v>2581</v>
      </c>
      <c r="C230" s="3">
        <v>517</v>
      </c>
      <c r="D230" s="3">
        <v>117</v>
      </c>
      <c r="E230" s="3">
        <v>23229</v>
      </c>
      <c r="F230" s="3">
        <v>22331</v>
      </c>
      <c r="G230" s="3">
        <v>70</v>
      </c>
      <c r="H230" s="3">
        <f t="shared" si="10"/>
        <v>3215</v>
      </c>
    </row>
    <row r="231" spans="1:8" x14ac:dyDescent="0.3">
      <c r="A231" s="3" t="s">
        <v>13</v>
      </c>
      <c r="B231" s="3">
        <v>4929</v>
      </c>
      <c r="C231" s="3">
        <v>749</v>
      </c>
      <c r="D231" s="3">
        <v>452</v>
      </c>
      <c r="E231" s="3">
        <v>93651</v>
      </c>
      <c r="F231" s="3">
        <v>92810</v>
      </c>
      <c r="G231" s="3">
        <v>66</v>
      </c>
      <c r="H231" s="3">
        <f t="shared" si="10"/>
        <v>6130</v>
      </c>
    </row>
    <row r="232" spans="1:8" x14ac:dyDescent="0.3">
      <c r="A232" s="3" t="s">
        <v>23</v>
      </c>
      <c r="B232" s="3">
        <v>4886</v>
      </c>
      <c r="C232" s="3">
        <v>983</v>
      </c>
      <c r="D232" s="3">
        <v>409</v>
      </c>
      <c r="E232" s="3">
        <v>43974</v>
      </c>
      <c r="F232" s="3">
        <v>43239</v>
      </c>
      <c r="G232" s="3">
        <v>65</v>
      </c>
      <c r="H232" s="3">
        <f t="shared" si="10"/>
        <v>6278</v>
      </c>
    </row>
    <row r="233" spans="1:8" x14ac:dyDescent="0.3">
      <c r="A233" s="3" t="s">
        <v>38</v>
      </c>
      <c r="B233" s="3">
        <v>1792</v>
      </c>
      <c r="C233" s="3">
        <v>614</v>
      </c>
      <c r="D233" s="3">
        <v>497</v>
      </c>
      <c r="E233" s="3">
        <v>25088</v>
      </c>
      <c r="F233" s="3">
        <v>24675</v>
      </c>
      <c r="G233" s="3">
        <v>65</v>
      </c>
      <c r="H233" s="3">
        <f t="shared" si="10"/>
        <v>2903</v>
      </c>
    </row>
    <row r="234" spans="1:8" x14ac:dyDescent="0.3">
      <c r="A234" s="3" t="s">
        <v>38</v>
      </c>
      <c r="B234" s="3">
        <v>985</v>
      </c>
      <c r="C234" s="3">
        <v>932</v>
      </c>
      <c r="D234" s="3">
        <v>287</v>
      </c>
      <c r="E234" s="3">
        <v>6895</v>
      </c>
      <c r="F234" s="3">
        <v>6757</v>
      </c>
      <c r="G234" s="3">
        <v>64</v>
      </c>
      <c r="H234" s="3">
        <f t="shared" si="10"/>
        <v>2204</v>
      </c>
    </row>
    <row r="235" spans="1:8" x14ac:dyDescent="0.3">
      <c r="A235" s="3" t="s">
        <v>18</v>
      </c>
      <c r="B235" s="3">
        <v>2089</v>
      </c>
      <c r="C235" s="3">
        <v>476</v>
      </c>
      <c r="D235" s="3">
        <v>69</v>
      </c>
      <c r="E235" s="3">
        <v>16712</v>
      </c>
      <c r="F235" s="3">
        <v>16309</v>
      </c>
      <c r="G235" s="3">
        <v>64</v>
      </c>
      <c r="H235" s="3">
        <f t="shared" si="10"/>
        <v>2634</v>
      </c>
    </row>
    <row r="236" spans="1:8" x14ac:dyDescent="0.3">
      <c r="A236" s="3" t="s">
        <v>13</v>
      </c>
      <c r="B236" s="3">
        <v>4661</v>
      </c>
      <c r="C236" s="3">
        <v>935</v>
      </c>
      <c r="D236" s="3">
        <v>433</v>
      </c>
      <c r="E236" s="3">
        <v>23305</v>
      </c>
      <c r="F236" s="3">
        <v>22583</v>
      </c>
      <c r="G236" s="3">
        <v>63</v>
      </c>
      <c r="H236" s="3">
        <f t="shared" si="10"/>
        <v>6029</v>
      </c>
    </row>
    <row r="237" spans="1:8" x14ac:dyDescent="0.3">
      <c r="A237" s="3" t="s">
        <v>18</v>
      </c>
      <c r="B237" s="3">
        <v>1249</v>
      </c>
      <c r="C237" s="3">
        <v>116</v>
      </c>
      <c r="D237" s="3">
        <v>420</v>
      </c>
      <c r="E237" s="3">
        <v>8743</v>
      </c>
      <c r="F237" s="3">
        <v>8538</v>
      </c>
      <c r="G237" s="3">
        <v>63</v>
      </c>
      <c r="H237" s="3">
        <f t="shared" si="10"/>
        <v>1785</v>
      </c>
    </row>
    <row r="238" spans="1:8" x14ac:dyDescent="0.3">
      <c r="A238" s="3" t="s">
        <v>23</v>
      </c>
      <c r="B238" s="3">
        <v>4187</v>
      </c>
      <c r="C238" s="3">
        <v>66</v>
      </c>
      <c r="D238" s="3">
        <v>31</v>
      </c>
      <c r="E238" s="3">
        <v>66992</v>
      </c>
      <c r="F238" s="3">
        <v>66614</v>
      </c>
      <c r="G238" s="3">
        <v>62</v>
      </c>
      <c r="H238" s="3">
        <f t="shared" si="10"/>
        <v>4284</v>
      </c>
    </row>
    <row r="239" spans="1:8" x14ac:dyDescent="0.3">
      <c r="A239" s="3" t="s">
        <v>18</v>
      </c>
      <c r="B239" s="3">
        <v>2946</v>
      </c>
      <c r="C239" s="3">
        <v>498</v>
      </c>
      <c r="D239" s="3">
        <v>367</v>
      </c>
      <c r="E239" s="3">
        <v>29460</v>
      </c>
      <c r="F239" s="3">
        <v>28527</v>
      </c>
      <c r="G239" s="3">
        <v>60</v>
      </c>
      <c r="H239" s="3">
        <f t="shared" si="10"/>
        <v>3811</v>
      </c>
    </row>
    <row r="240" spans="1:8" x14ac:dyDescent="0.3">
      <c r="A240" s="3" t="s">
        <v>18</v>
      </c>
      <c r="B240" s="3">
        <v>1741</v>
      </c>
      <c r="C240" s="3">
        <v>831</v>
      </c>
      <c r="D240" s="3">
        <v>345</v>
      </c>
      <c r="E240" s="3">
        <v>17410</v>
      </c>
      <c r="F240" s="3">
        <v>16844</v>
      </c>
      <c r="G240" s="3">
        <v>58</v>
      </c>
      <c r="H240" s="3">
        <f t="shared" si="10"/>
        <v>2917</v>
      </c>
    </row>
    <row r="241" spans="1:8" x14ac:dyDescent="0.3">
      <c r="A241" s="3" t="s">
        <v>38</v>
      </c>
      <c r="B241" s="3">
        <v>4840</v>
      </c>
      <c r="C241" s="3">
        <v>658</v>
      </c>
      <c r="D241" s="3">
        <v>211</v>
      </c>
      <c r="E241" s="3">
        <v>43560</v>
      </c>
      <c r="F241" s="3">
        <v>43225</v>
      </c>
      <c r="G241" s="3">
        <v>57</v>
      </c>
      <c r="H241" s="3">
        <f t="shared" si="10"/>
        <v>5709</v>
      </c>
    </row>
    <row r="242" spans="1:8" x14ac:dyDescent="0.3">
      <c r="A242" s="3" t="s">
        <v>18</v>
      </c>
      <c r="B242" s="3">
        <v>4551</v>
      </c>
      <c r="C242" s="3">
        <v>714</v>
      </c>
      <c r="D242" s="3">
        <v>207</v>
      </c>
      <c r="E242" s="3">
        <v>68265</v>
      </c>
      <c r="F242" s="3">
        <v>67754</v>
      </c>
      <c r="G242" s="3">
        <v>57</v>
      </c>
      <c r="H242" s="3">
        <f t="shared" si="10"/>
        <v>5472</v>
      </c>
    </row>
    <row r="243" spans="1:8" x14ac:dyDescent="0.3">
      <c r="A243" s="3" t="s">
        <v>18</v>
      </c>
      <c r="B243" s="3">
        <v>4606</v>
      </c>
      <c r="C243" s="3">
        <v>931</v>
      </c>
      <c r="D243" s="3">
        <v>230</v>
      </c>
      <c r="E243" s="3">
        <v>92120</v>
      </c>
      <c r="F243" s="3">
        <v>91440</v>
      </c>
      <c r="G243" s="3">
        <v>56</v>
      </c>
      <c r="H243" s="3">
        <f t="shared" si="10"/>
        <v>5767</v>
      </c>
    </row>
    <row r="244" spans="1:8" x14ac:dyDescent="0.3">
      <c r="A244" s="3" t="s">
        <v>23</v>
      </c>
      <c r="B244" s="3">
        <v>3577</v>
      </c>
      <c r="C244" s="3">
        <v>596</v>
      </c>
      <c r="D244" s="3">
        <v>493</v>
      </c>
      <c r="E244" s="3">
        <v>67963</v>
      </c>
      <c r="F244" s="3">
        <v>67839</v>
      </c>
      <c r="G244" s="3">
        <v>53</v>
      </c>
      <c r="H244" s="3">
        <f t="shared" si="10"/>
        <v>4666</v>
      </c>
    </row>
    <row r="245" spans="1:8" x14ac:dyDescent="0.3">
      <c r="A245" s="3" t="s">
        <v>13</v>
      </c>
      <c r="B245" s="3">
        <v>1686</v>
      </c>
      <c r="C245" s="3">
        <v>904</v>
      </c>
      <c r="D245" s="3">
        <v>472</v>
      </c>
      <c r="E245" s="3">
        <v>18546</v>
      </c>
      <c r="F245" s="3">
        <v>18171</v>
      </c>
      <c r="G245" s="3">
        <v>52</v>
      </c>
      <c r="H245" s="3">
        <f t="shared" si="10"/>
        <v>3062</v>
      </c>
    </row>
    <row r="246" spans="1:8" x14ac:dyDescent="0.3">
      <c r="A246" s="3" t="s">
        <v>13</v>
      </c>
      <c r="B246" s="3">
        <v>1766</v>
      </c>
      <c r="C246" s="3">
        <v>92</v>
      </c>
      <c r="D246" s="3">
        <v>424</v>
      </c>
      <c r="E246" s="3">
        <v>24724</v>
      </c>
      <c r="F246" s="3">
        <v>24333</v>
      </c>
      <c r="G246" s="3">
        <v>52</v>
      </c>
      <c r="H246" s="3">
        <f t="shared" si="10"/>
        <v>2282</v>
      </c>
    </row>
    <row r="247" spans="1:8" x14ac:dyDescent="0.3">
      <c r="A247" s="3" t="s">
        <v>38</v>
      </c>
      <c r="B247" s="3">
        <v>3099</v>
      </c>
      <c r="C247" s="3">
        <v>694</v>
      </c>
      <c r="D247" s="3">
        <v>171</v>
      </c>
      <c r="E247" s="3">
        <v>43386</v>
      </c>
      <c r="F247" s="3">
        <v>42921</v>
      </c>
      <c r="G247" s="3">
        <v>52</v>
      </c>
      <c r="H247" s="3">
        <f t="shared" si="10"/>
        <v>3964</v>
      </c>
    </row>
    <row r="248" spans="1:8" x14ac:dyDescent="0.3">
      <c r="A248" s="3" t="s">
        <v>13</v>
      </c>
      <c r="B248" s="3">
        <v>4285</v>
      </c>
      <c r="C248" s="3">
        <v>886</v>
      </c>
      <c r="D248" s="3">
        <v>376</v>
      </c>
      <c r="E248" s="3">
        <v>55705</v>
      </c>
      <c r="F248" s="3">
        <v>55556</v>
      </c>
      <c r="G248" s="3">
        <v>51</v>
      </c>
      <c r="H248" s="3">
        <f t="shared" si="10"/>
        <v>5547</v>
      </c>
    </row>
    <row r="249" spans="1:8" x14ac:dyDescent="0.3">
      <c r="A249" s="3" t="s">
        <v>13</v>
      </c>
      <c r="B249" s="3">
        <v>2076</v>
      </c>
      <c r="C249" s="3">
        <v>195</v>
      </c>
      <c r="D249" s="3">
        <v>104</v>
      </c>
      <c r="E249" s="3">
        <v>33216</v>
      </c>
      <c r="F249" s="3">
        <v>32244</v>
      </c>
      <c r="G249" s="3">
        <v>51</v>
      </c>
      <c r="H249" s="3">
        <f t="shared" si="10"/>
        <v>2375</v>
      </c>
    </row>
    <row r="250" spans="1:8" x14ac:dyDescent="0.3">
      <c r="A250" s="3" t="s">
        <v>23</v>
      </c>
      <c r="B250" s="3">
        <v>802</v>
      </c>
      <c r="C250" s="3">
        <v>262</v>
      </c>
      <c r="D250" s="3">
        <v>244</v>
      </c>
      <c r="E250" s="3">
        <v>14436</v>
      </c>
      <c r="F250" s="3">
        <v>14280</v>
      </c>
      <c r="G250" s="3">
        <v>49</v>
      </c>
      <c r="H250" s="3">
        <f t="shared" si="10"/>
        <v>1308</v>
      </c>
    </row>
    <row r="251" spans="1:8" x14ac:dyDescent="0.3">
      <c r="A251" s="3" t="s">
        <v>23</v>
      </c>
      <c r="B251" s="3">
        <v>3160</v>
      </c>
      <c r="C251" s="3">
        <v>204</v>
      </c>
      <c r="D251" s="3">
        <v>297</v>
      </c>
      <c r="E251" s="3">
        <v>44240</v>
      </c>
      <c r="F251" s="3">
        <v>43666</v>
      </c>
      <c r="G251" s="3">
        <v>49</v>
      </c>
      <c r="H251" s="3">
        <f t="shared" si="10"/>
        <v>3661</v>
      </c>
    </row>
    <row r="252" spans="1:8" x14ac:dyDescent="0.3">
      <c r="A252" s="3" t="s">
        <v>18</v>
      </c>
      <c r="B252" s="3">
        <v>4804</v>
      </c>
      <c r="C252" s="3">
        <v>550</v>
      </c>
      <c r="D252" s="3">
        <v>270</v>
      </c>
      <c r="E252" s="3">
        <v>28824</v>
      </c>
      <c r="F252" s="3">
        <v>28370</v>
      </c>
      <c r="G252" s="3">
        <v>47</v>
      </c>
      <c r="H252" s="3">
        <f t="shared" si="10"/>
        <v>5624</v>
      </c>
    </row>
    <row r="253" spans="1:8" x14ac:dyDescent="0.3">
      <c r="A253" s="3" t="s">
        <v>38</v>
      </c>
      <c r="B253" s="3">
        <v>2647</v>
      </c>
      <c r="C253" s="3">
        <v>304</v>
      </c>
      <c r="D253" s="3">
        <v>170</v>
      </c>
      <c r="E253" s="3">
        <v>18529</v>
      </c>
      <c r="F253" s="3">
        <v>17841</v>
      </c>
      <c r="G253" s="3">
        <v>46</v>
      </c>
      <c r="H253" s="3">
        <f t="shared" si="10"/>
        <v>3121</v>
      </c>
    </row>
    <row r="254" spans="1:8" x14ac:dyDescent="0.3">
      <c r="A254" s="3" t="s">
        <v>38</v>
      </c>
      <c r="B254" s="3">
        <v>4561</v>
      </c>
      <c r="C254" s="3">
        <v>51</v>
      </c>
      <c r="D254" s="3">
        <v>441</v>
      </c>
      <c r="E254" s="3">
        <v>22805</v>
      </c>
      <c r="F254" s="3">
        <v>21890</v>
      </c>
      <c r="G254" s="3">
        <v>45</v>
      </c>
      <c r="H254" s="3">
        <f t="shared" si="10"/>
        <v>5053</v>
      </c>
    </row>
    <row r="255" spans="1:8" x14ac:dyDescent="0.3">
      <c r="A255" s="3" t="s">
        <v>23</v>
      </c>
      <c r="B255" s="3">
        <v>4000</v>
      </c>
      <c r="C255" s="3">
        <v>689</v>
      </c>
      <c r="D255" s="3">
        <v>488</v>
      </c>
      <c r="E255" s="3">
        <v>40000</v>
      </c>
      <c r="F255" s="3">
        <v>39569</v>
      </c>
      <c r="G255" s="3">
        <v>44</v>
      </c>
      <c r="H255" s="3">
        <f t="shared" si="10"/>
        <v>5177</v>
      </c>
    </row>
    <row r="256" spans="1:8" x14ac:dyDescent="0.3">
      <c r="A256" s="3" t="s">
        <v>23</v>
      </c>
      <c r="B256" s="3">
        <v>3535</v>
      </c>
      <c r="C256" s="3">
        <v>494</v>
      </c>
      <c r="D256" s="3">
        <v>152</v>
      </c>
      <c r="E256" s="3">
        <v>53025</v>
      </c>
      <c r="F256" s="3">
        <v>52791</v>
      </c>
      <c r="G256" s="3">
        <v>44</v>
      </c>
      <c r="H256" s="3">
        <f t="shared" si="10"/>
        <v>4181</v>
      </c>
    </row>
    <row r="257" spans="1:8" x14ac:dyDescent="0.3">
      <c r="A257" s="3" t="s">
        <v>18</v>
      </c>
      <c r="B257" s="3">
        <v>199</v>
      </c>
      <c r="C257" s="3">
        <v>772</v>
      </c>
      <c r="D257" s="3">
        <v>400</v>
      </c>
      <c r="E257" s="3">
        <v>3582</v>
      </c>
      <c r="F257" s="3">
        <v>2988</v>
      </c>
      <c r="G257" s="3">
        <v>43</v>
      </c>
      <c r="H257" s="3">
        <f t="shared" si="10"/>
        <v>1371</v>
      </c>
    </row>
    <row r="258" spans="1:8" x14ac:dyDescent="0.3">
      <c r="A258" s="3" t="s">
        <v>23</v>
      </c>
      <c r="B258" s="3">
        <v>4725</v>
      </c>
      <c r="C258" s="3">
        <v>400</v>
      </c>
      <c r="D258" s="3">
        <v>362</v>
      </c>
      <c r="E258" s="3">
        <v>75600</v>
      </c>
      <c r="F258" s="3">
        <v>74927</v>
      </c>
      <c r="G258" s="3">
        <v>43</v>
      </c>
      <c r="H258" s="3">
        <f t="shared" si="10"/>
        <v>5487</v>
      </c>
    </row>
    <row r="259" spans="1:8" x14ac:dyDescent="0.3">
      <c r="A259" s="3" t="s">
        <v>18</v>
      </c>
      <c r="B259" s="3">
        <v>1272</v>
      </c>
      <c r="C259" s="3">
        <v>465</v>
      </c>
      <c r="D259" s="3">
        <v>99</v>
      </c>
      <c r="E259" s="3">
        <v>24168</v>
      </c>
      <c r="F259" s="3">
        <v>23719</v>
      </c>
      <c r="G259" s="3">
        <v>42</v>
      </c>
      <c r="H259" s="3">
        <f t="shared" ref="H259:H301" si="11">SUM(B259:D259)</f>
        <v>1836</v>
      </c>
    </row>
    <row r="260" spans="1:8" x14ac:dyDescent="0.3">
      <c r="A260" s="3" t="s">
        <v>23</v>
      </c>
      <c r="B260" s="3">
        <v>1877</v>
      </c>
      <c r="C260" s="3">
        <v>745</v>
      </c>
      <c r="D260" s="3">
        <v>225</v>
      </c>
      <c r="E260" s="3">
        <v>11262</v>
      </c>
      <c r="F260" s="3">
        <v>10967</v>
      </c>
      <c r="G260" s="3">
        <v>41</v>
      </c>
      <c r="H260" s="3">
        <f t="shared" si="11"/>
        <v>2847</v>
      </c>
    </row>
    <row r="261" spans="1:8" x14ac:dyDescent="0.3">
      <c r="A261" s="3" t="s">
        <v>13</v>
      </c>
      <c r="B261" s="3">
        <v>2719</v>
      </c>
      <c r="C261" s="3">
        <v>17</v>
      </c>
      <c r="D261" s="3">
        <v>285</v>
      </c>
      <c r="E261" s="3">
        <v>40785</v>
      </c>
      <c r="F261" s="3">
        <v>40281</v>
      </c>
      <c r="G261" s="3">
        <v>40</v>
      </c>
      <c r="H261" s="3">
        <f t="shared" si="11"/>
        <v>3021</v>
      </c>
    </row>
    <row r="262" spans="1:8" x14ac:dyDescent="0.3">
      <c r="A262" s="3" t="s">
        <v>18</v>
      </c>
      <c r="B262" s="3">
        <v>1814</v>
      </c>
      <c r="C262" s="3">
        <v>653</v>
      </c>
      <c r="D262" s="3">
        <v>363</v>
      </c>
      <c r="E262" s="3">
        <v>25396</v>
      </c>
      <c r="F262" s="3">
        <v>25286</v>
      </c>
      <c r="G262" s="3">
        <v>39</v>
      </c>
      <c r="H262" s="3">
        <f t="shared" si="11"/>
        <v>2830</v>
      </c>
    </row>
    <row r="263" spans="1:8" x14ac:dyDescent="0.3">
      <c r="A263" s="3" t="s">
        <v>13</v>
      </c>
      <c r="B263" s="3">
        <v>3929</v>
      </c>
      <c r="C263" s="3">
        <v>262</v>
      </c>
      <c r="D263" s="3">
        <v>278</v>
      </c>
      <c r="E263" s="3">
        <v>43219</v>
      </c>
      <c r="F263" s="3">
        <v>42841</v>
      </c>
      <c r="G263" s="3">
        <v>39</v>
      </c>
      <c r="H263" s="3">
        <f t="shared" si="11"/>
        <v>4469</v>
      </c>
    </row>
    <row r="264" spans="1:8" x14ac:dyDescent="0.3">
      <c r="A264" s="3" t="s">
        <v>13</v>
      </c>
      <c r="B264" s="3">
        <v>1018</v>
      </c>
      <c r="C264" s="3">
        <v>447</v>
      </c>
      <c r="D264" s="3">
        <v>332</v>
      </c>
      <c r="E264" s="3">
        <v>18324</v>
      </c>
      <c r="F264" s="3">
        <v>18164</v>
      </c>
      <c r="G264" s="3">
        <v>38</v>
      </c>
      <c r="H264" s="3">
        <f t="shared" si="11"/>
        <v>1797</v>
      </c>
    </row>
    <row r="265" spans="1:8" x14ac:dyDescent="0.3">
      <c r="A265" s="3" t="s">
        <v>18</v>
      </c>
      <c r="B265" s="3">
        <v>3024</v>
      </c>
      <c r="C265" s="3">
        <v>925</v>
      </c>
      <c r="D265" s="3">
        <v>350</v>
      </c>
      <c r="E265" s="3">
        <v>24192</v>
      </c>
      <c r="F265" s="3">
        <v>23518</v>
      </c>
      <c r="G265" s="3">
        <v>36</v>
      </c>
      <c r="H265" s="3">
        <f t="shared" si="11"/>
        <v>4299</v>
      </c>
    </row>
    <row r="266" spans="1:8" x14ac:dyDescent="0.3">
      <c r="A266" s="3" t="s">
        <v>38</v>
      </c>
      <c r="B266" s="3">
        <v>4739</v>
      </c>
      <c r="C266" s="3">
        <v>527</v>
      </c>
      <c r="D266" s="3">
        <v>135</v>
      </c>
      <c r="E266" s="3">
        <v>61607</v>
      </c>
      <c r="F266" s="3">
        <v>61333</v>
      </c>
      <c r="G266" s="3">
        <v>36</v>
      </c>
      <c r="H266" s="3">
        <f t="shared" si="11"/>
        <v>5401</v>
      </c>
    </row>
    <row r="267" spans="1:8" x14ac:dyDescent="0.3">
      <c r="A267" s="3" t="s">
        <v>18</v>
      </c>
      <c r="B267" s="3">
        <v>4663</v>
      </c>
      <c r="C267" s="3">
        <v>145</v>
      </c>
      <c r="D267" s="3">
        <v>225</v>
      </c>
      <c r="E267" s="3">
        <v>69945</v>
      </c>
      <c r="F267" s="3">
        <v>69596</v>
      </c>
      <c r="G267" s="3">
        <v>35</v>
      </c>
      <c r="H267" s="3">
        <f t="shared" si="11"/>
        <v>5033</v>
      </c>
    </row>
    <row r="268" spans="1:8" x14ac:dyDescent="0.3">
      <c r="A268" s="3" t="s">
        <v>18</v>
      </c>
      <c r="B268" s="3">
        <v>947</v>
      </c>
      <c r="C268" s="3">
        <v>338</v>
      </c>
      <c r="D268" s="3">
        <v>350</v>
      </c>
      <c r="E268" s="3">
        <v>10417</v>
      </c>
      <c r="F268" s="3">
        <v>9730</v>
      </c>
      <c r="G268" s="3">
        <v>34</v>
      </c>
      <c r="H268" s="3">
        <f t="shared" si="11"/>
        <v>1635</v>
      </c>
    </row>
    <row r="269" spans="1:8" x14ac:dyDescent="0.3">
      <c r="A269" s="3" t="s">
        <v>38</v>
      </c>
      <c r="B269" s="3">
        <v>498</v>
      </c>
      <c r="C269" s="3">
        <v>38</v>
      </c>
      <c r="D269" s="3">
        <v>42</v>
      </c>
      <c r="E269" s="3">
        <v>4482</v>
      </c>
      <c r="F269" s="3">
        <v>3647</v>
      </c>
      <c r="G269" s="3">
        <v>32</v>
      </c>
      <c r="H269" s="3">
        <f t="shared" si="11"/>
        <v>578</v>
      </c>
    </row>
    <row r="270" spans="1:8" x14ac:dyDescent="0.3">
      <c r="A270" s="3" t="s">
        <v>23</v>
      </c>
      <c r="B270" s="3">
        <v>3592</v>
      </c>
      <c r="C270" s="3">
        <v>911</v>
      </c>
      <c r="D270" s="3">
        <v>375</v>
      </c>
      <c r="E270" s="3">
        <v>50288</v>
      </c>
      <c r="F270" s="3">
        <v>49490</v>
      </c>
      <c r="G270" s="3">
        <v>32</v>
      </c>
      <c r="H270" s="3">
        <f t="shared" si="11"/>
        <v>4878</v>
      </c>
    </row>
    <row r="271" spans="1:8" x14ac:dyDescent="0.3">
      <c r="A271" s="3" t="s">
        <v>38</v>
      </c>
      <c r="B271" s="3">
        <v>4518</v>
      </c>
      <c r="C271" s="3">
        <v>285</v>
      </c>
      <c r="D271" s="3">
        <v>383</v>
      </c>
      <c r="E271" s="3">
        <v>67770</v>
      </c>
      <c r="F271" s="3">
        <v>67621</v>
      </c>
      <c r="G271" s="3">
        <v>31</v>
      </c>
      <c r="H271" s="3">
        <f t="shared" si="11"/>
        <v>5186</v>
      </c>
    </row>
    <row r="272" spans="1:8" x14ac:dyDescent="0.3">
      <c r="A272" s="3" t="s">
        <v>38</v>
      </c>
      <c r="B272" s="3">
        <v>1488</v>
      </c>
      <c r="C272" s="3">
        <v>417</v>
      </c>
      <c r="D272" s="3">
        <v>168</v>
      </c>
      <c r="E272" s="3">
        <v>19344</v>
      </c>
      <c r="F272" s="3">
        <v>18395</v>
      </c>
      <c r="G272" s="3">
        <v>30</v>
      </c>
      <c r="H272" s="3">
        <f t="shared" si="11"/>
        <v>2073</v>
      </c>
    </row>
    <row r="273" spans="1:8" x14ac:dyDescent="0.3">
      <c r="A273" s="3" t="s">
        <v>38</v>
      </c>
      <c r="B273" s="3">
        <v>2103</v>
      </c>
      <c r="C273" s="3">
        <v>892</v>
      </c>
      <c r="D273" s="3">
        <v>103</v>
      </c>
      <c r="E273" s="3">
        <v>39957</v>
      </c>
      <c r="F273" s="3">
        <v>39466</v>
      </c>
      <c r="G273" s="3">
        <v>28</v>
      </c>
      <c r="H273" s="3">
        <f t="shared" si="11"/>
        <v>3098</v>
      </c>
    </row>
    <row r="274" spans="1:8" x14ac:dyDescent="0.3">
      <c r="A274" s="3" t="s">
        <v>18</v>
      </c>
      <c r="B274" s="3">
        <v>302</v>
      </c>
      <c r="C274" s="3">
        <v>47</v>
      </c>
      <c r="D274" s="3">
        <v>430</v>
      </c>
      <c r="E274" s="3">
        <v>5738</v>
      </c>
      <c r="F274" s="3">
        <v>4890</v>
      </c>
      <c r="G274" s="3">
        <v>25</v>
      </c>
      <c r="H274" s="3">
        <f t="shared" si="11"/>
        <v>779</v>
      </c>
    </row>
    <row r="275" spans="1:8" x14ac:dyDescent="0.3">
      <c r="A275" s="3" t="s">
        <v>38</v>
      </c>
      <c r="B275" s="3">
        <v>1762</v>
      </c>
      <c r="C275" s="3">
        <v>405</v>
      </c>
      <c r="D275" s="3">
        <v>423</v>
      </c>
      <c r="E275" s="3">
        <v>22906</v>
      </c>
      <c r="F275" s="3">
        <v>21925</v>
      </c>
      <c r="G275" s="3">
        <v>25</v>
      </c>
      <c r="H275" s="3">
        <f t="shared" si="11"/>
        <v>2590</v>
      </c>
    </row>
    <row r="276" spans="1:8" x14ac:dyDescent="0.3">
      <c r="A276" s="3" t="s">
        <v>18</v>
      </c>
      <c r="B276" s="3">
        <v>3090</v>
      </c>
      <c r="C276" s="3">
        <v>697</v>
      </c>
      <c r="D276" s="3">
        <v>164</v>
      </c>
      <c r="E276" s="3">
        <v>49440</v>
      </c>
      <c r="F276" s="3">
        <v>48524</v>
      </c>
      <c r="G276" s="3">
        <v>25</v>
      </c>
      <c r="H276" s="3">
        <f t="shared" si="11"/>
        <v>3951</v>
      </c>
    </row>
    <row r="277" spans="1:8" x14ac:dyDescent="0.3">
      <c r="A277" s="3" t="s">
        <v>18</v>
      </c>
      <c r="B277" s="3">
        <v>2072</v>
      </c>
      <c r="C277" s="3">
        <v>532</v>
      </c>
      <c r="D277" s="3">
        <v>71</v>
      </c>
      <c r="E277" s="3">
        <v>37296</v>
      </c>
      <c r="F277" s="3">
        <v>36467</v>
      </c>
      <c r="G277" s="3">
        <v>25</v>
      </c>
      <c r="H277" s="3">
        <f t="shared" si="11"/>
        <v>2675</v>
      </c>
    </row>
    <row r="278" spans="1:8" x14ac:dyDescent="0.3">
      <c r="A278" s="3" t="s">
        <v>38</v>
      </c>
      <c r="B278" s="3">
        <v>4054</v>
      </c>
      <c r="C278" s="3">
        <v>488</v>
      </c>
      <c r="D278" s="3">
        <v>373</v>
      </c>
      <c r="E278" s="3">
        <v>77026</v>
      </c>
      <c r="F278" s="3">
        <v>76881</v>
      </c>
      <c r="G278" s="3">
        <v>25</v>
      </c>
      <c r="H278" s="3">
        <f t="shared" si="11"/>
        <v>4915</v>
      </c>
    </row>
    <row r="279" spans="1:8" x14ac:dyDescent="0.3">
      <c r="A279" s="3" t="s">
        <v>23</v>
      </c>
      <c r="B279" s="3">
        <v>2166</v>
      </c>
      <c r="C279" s="3">
        <v>354</v>
      </c>
      <c r="D279" s="3">
        <v>117</v>
      </c>
      <c r="E279" s="3">
        <v>10830</v>
      </c>
      <c r="F279" s="3">
        <v>10245</v>
      </c>
      <c r="G279" s="3">
        <v>24</v>
      </c>
      <c r="H279" s="3">
        <f t="shared" si="11"/>
        <v>2637</v>
      </c>
    </row>
    <row r="280" spans="1:8" x14ac:dyDescent="0.3">
      <c r="A280" s="3" t="s">
        <v>18</v>
      </c>
      <c r="B280" s="3">
        <v>4453</v>
      </c>
      <c r="C280" s="3">
        <v>111</v>
      </c>
      <c r="D280" s="3">
        <v>420</v>
      </c>
      <c r="E280" s="3">
        <v>31171</v>
      </c>
      <c r="F280" s="3">
        <v>30565</v>
      </c>
      <c r="G280" s="3">
        <v>23</v>
      </c>
      <c r="H280" s="3">
        <f t="shared" si="11"/>
        <v>4984</v>
      </c>
    </row>
    <row r="281" spans="1:8" x14ac:dyDescent="0.3">
      <c r="A281" s="3" t="s">
        <v>13</v>
      </c>
      <c r="B281" s="3">
        <v>2936</v>
      </c>
      <c r="C281" s="3">
        <v>439</v>
      </c>
      <c r="D281" s="3">
        <v>44</v>
      </c>
      <c r="E281" s="3">
        <v>38168</v>
      </c>
      <c r="F281" s="3">
        <v>37571</v>
      </c>
      <c r="G281" s="3">
        <v>22</v>
      </c>
      <c r="H281" s="3">
        <f t="shared" si="11"/>
        <v>3419</v>
      </c>
    </row>
    <row r="282" spans="1:8" x14ac:dyDescent="0.3">
      <c r="A282" s="3" t="s">
        <v>23</v>
      </c>
      <c r="B282" s="3">
        <v>2120</v>
      </c>
      <c r="C282" s="3">
        <v>38</v>
      </c>
      <c r="D282" s="3">
        <v>212</v>
      </c>
      <c r="E282" s="3">
        <v>12720</v>
      </c>
      <c r="F282" s="3">
        <v>12564</v>
      </c>
      <c r="G282" s="3">
        <v>21</v>
      </c>
      <c r="H282" s="3">
        <f t="shared" si="11"/>
        <v>2370</v>
      </c>
    </row>
    <row r="283" spans="1:8" x14ac:dyDescent="0.3">
      <c r="A283" s="3" t="s">
        <v>23</v>
      </c>
      <c r="B283" s="3">
        <v>954</v>
      </c>
      <c r="C283" s="3">
        <v>324</v>
      </c>
      <c r="D283" s="3">
        <v>288</v>
      </c>
      <c r="E283" s="3">
        <v>19080</v>
      </c>
      <c r="F283" s="3">
        <v>18859</v>
      </c>
      <c r="G283" s="3">
        <v>21</v>
      </c>
      <c r="H283" s="3">
        <f t="shared" si="11"/>
        <v>1566</v>
      </c>
    </row>
    <row r="284" spans="1:8" x14ac:dyDescent="0.3">
      <c r="A284" s="3" t="s">
        <v>38</v>
      </c>
      <c r="B284" s="3">
        <v>2603</v>
      </c>
      <c r="C284" s="3">
        <v>690</v>
      </c>
      <c r="D284" s="3">
        <v>205</v>
      </c>
      <c r="E284" s="3">
        <v>13015</v>
      </c>
      <c r="F284" s="3">
        <v>12130</v>
      </c>
      <c r="G284" s="3">
        <v>20</v>
      </c>
      <c r="H284" s="3">
        <f t="shared" si="11"/>
        <v>3498</v>
      </c>
    </row>
    <row r="285" spans="1:8" x14ac:dyDescent="0.3">
      <c r="A285" s="3" t="s">
        <v>23</v>
      </c>
      <c r="B285" s="3">
        <v>1082</v>
      </c>
      <c r="C285" s="3">
        <v>209</v>
      </c>
      <c r="D285" s="3">
        <v>484</v>
      </c>
      <c r="E285" s="3">
        <v>19476</v>
      </c>
      <c r="F285" s="3">
        <v>18654</v>
      </c>
      <c r="G285" s="3">
        <v>20</v>
      </c>
      <c r="H285" s="3">
        <f t="shared" si="11"/>
        <v>1775</v>
      </c>
    </row>
    <row r="286" spans="1:8" x14ac:dyDescent="0.3">
      <c r="A286" s="3" t="s">
        <v>18</v>
      </c>
      <c r="B286" s="3">
        <v>3888</v>
      </c>
      <c r="C286" s="3">
        <v>604</v>
      </c>
      <c r="D286" s="3">
        <v>128</v>
      </c>
      <c r="E286" s="3">
        <v>77760</v>
      </c>
      <c r="F286" s="3">
        <v>77167</v>
      </c>
      <c r="G286" s="3">
        <v>20</v>
      </c>
      <c r="H286" s="3">
        <f t="shared" si="11"/>
        <v>4620</v>
      </c>
    </row>
    <row r="287" spans="1:8" x14ac:dyDescent="0.3">
      <c r="A287" s="3" t="s">
        <v>13</v>
      </c>
      <c r="B287" s="3">
        <v>736</v>
      </c>
      <c r="C287" s="3">
        <v>771</v>
      </c>
      <c r="D287" s="3">
        <v>225</v>
      </c>
      <c r="E287" s="3">
        <v>5152</v>
      </c>
      <c r="F287" s="3">
        <v>4706</v>
      </c>
      <c r="G287" s="3">
        <v>19</v>
      </c>
      <c r="H287" s="3">
        <f t="shared" si="11"/>
        <v>1732</v>
      </c>
    </row>
    <row r="288" spans="1:8" x14ac:dyDescent="0.3">
      <c r="A288" s="3" t="s">
        <v>38</v>
      </c>
      <c r="B288" s="3">
        <v>3000</v>
      </c>
      <c r="C288" s="3">
        <v>382</v>
      </c>
      <c r="D288" s="3">
        <v>325</v>
      </c>
      <c r="E288" s="3">
        <v>36000</v>
      </c>
      <c r="F288" s="3">
        <v>35819</v>
      </c>
      <c r="G288" s="3">
        <v>19</v>
      </c>
      <c r="H288" s="3">
        <f t="shared" si="11"/>
        <v>3707</v>
      </c>
    </row>
    <row r="289" spans="1:8" x14ac:dyDescent="0.3">
      <c r="A289" s="3" t="s">
        <v>23</v>
      </c>
      <c r="B289" s="3">
        <v>4782</v>
      </c>
      <c r="C289" s="3">
        <v>721</v>
      </c>
      <c r="D289" s="3">
        <v>82</v>
      </c>
      <c r="E289" s="3">
        <v>86076</v>
      </c>
      <c r="F289" s="3">
        <v>85339</v>
      </c>
      <c r="G289" s="3">
        <v>19</v>
      </c>
      <c r="H289" s="3">
        <f t="shared" si="11"/>
        <v>5585</v>
      </c>
    </row>
    <row r="290" spans="1:8" x14ac:dyDescent="0.3">
      <c r="A290" s="3" t="s">
        <v>18</v>
      </c>
      <c r="B290" s="3">
        <v>2120</v>
      </c>
      <c r="C290" s="3">
        <v>158</v>
      </c>
      <c r="D290" s="3">
        <v>488</v>
      </c>
      <c r="E290" s="3">
        <v>12720</v>
      </c>
      <c r="F290" s="3">
        <v>12085</v>
      </c>
      <c r="G290" s="3">
        <v>17</v>
      </c>
      <c r="H290" s="3">
        <f t="shared" si="11"/>
        <v>2766</v>
      </c>
    </row>
    <row r="291" spans="1:8" x14ac:dyDescent="0.3">
      <c r="A291" s="3" t="s">
        <v>23</v>
      </c>
      <c r="B291" s="3">
        <v>1575</v>
      </c>
      <c r="C291" s="3">
        <v>771</v>
      </c>
      <c r="D291" s="3">
        <v>486</v>
      </c>
      <c r="E291" s="3">
        <v>25200</v>
      </c>
      <c r="F291" s="3">
        <v>24826</v>
      </c>
      <c r="G291" s="3">
        <v>17</v>
      </c>
      <c r="H291" s="3">
        <f t="shared" si="11"/>
        <v>2832</v>
      </c>
    </row>
    <row r="292" spans="1:8" x14ac:dyDescent="0.3">
      <c r="A292" s="3" t="s">
        <v>23</v>
      </c>
      <c r="B292" s="3">
        <v>1461</v>
      </c>
      <c r="C292" s="3">
        <v>184</v>
      </c>
      <c r="D292" s="3">
        <v>344</v>
      </c>
      <c r="E292" s="3">
        <v>21915</v>
      </c>
      <c r="F292" s="3">
        <v>21675</v>
      </c>
      <c r="G292" s="3">
        <v>15</v>
      </c>
      <c r="H292" s="3">
        <f t="shared" si="11"/>
        <v>1989</v>
      </c>
    </row>
    <row r="293" spans="1:8" x14ac:dyDescent="0.3">
      <c r="A293" s="3" t="s">
        <v>18</v>
      </c>
      <c r="B293" s="3">
        <v>4303</v>
      </c>
      <c r="C293" s="3">
        <v>451</v>
      </c>
      <c r="D293" s="3">
        <v>286</v>
      </c>
      <c r="E293" s="3">
        <v>86060</v>
      </c>
      <c r="F293" s="3">
        <v>85823</v>
      </c>
      <c r="G293" s="3">
        <v>14</v>
      </c>
      <c r="H293" s="3">
        <f t="shared" si="11"/>
        <v>5040</v>
      </c>
    </row>
    <row r="294" spans="1:8" x14ac:dyDescent="0.3">
      <c r="A294" s="3" t="s">
        <v>38</v>
      </c>
      <c r="B294" s="3">
        <v>84</v>
      </c>
      <c r="C294" s="3">
        <v>897</v>
      </c>
      <c r="D294" s="3">
        <v>85</v>
      </c>
      <c r="E294" s="3">
        <v>588</v>
      </c>
      <c r="F294" s="3">
        <v>8</v>
      </c>
      <c r="G294" s="3">
        <v>12</v>
      </c>
      <c r="H294" s="3">
        <f t="shared" si="11"/>
        <v>1066</v>
      </c>
    </row>
    <row r="295" spans="1:8" x14ac:dyDescent="0.3">
      <c r="A295" s="3" t="s">
        <v>13</v>
      </c>
      <c r="B295" s="3">
        <v>4450</v>
      </c>
      <c r="C295" s="3">
        <v>983</v>
      </c>
      <c r="D295" s="3">
        <v>143</v>
      </c>
      <c r="E295" s="3">
        <v>75650</v>
      </c>
      <c r="F295" s="3">
        <v>75008</v>
      </c>
      <c r="G295" s="3">
        <v>12</v>
      </c>
      <c r="H295" s="3">
        <f t="shared" si="11"/>
        <v>5576</v>
      </c>
    </row>
    <row r="296" spans="1:8" x14ac:dyDescent="0.3">
      <c r="A296" s="3" t="s">
        <v>13</v>
      </c>
      <c r="B296" s="3">
        <v>804</v>
      </c>
      <c r="C296" s="3">
        <v>639</v>
      </c>
      <c r="D296" s="3">
        <v>43</v>
      </c>
      <c r="E296" s="3">
        <v>4020</v>
      </c>
      <c r="F296" s="3">
        <v>3144</v>
      </c>
      <c r="G296" s="3">
        <v>11</v>
      </c>
      <c r="H296" s="3">
        <f t="shared" si="11"/>
        <v>1486</v>
      </c>
    </row>
    <row r="297" spans="1:8" x14ac:dyDescent="0.3">
      <c r="A297" s="3" t="s">
        <v>13</v>
      </c>
      <c r="B297" s="3">
        <v>3711</v>
      </c>
      <c r="C297" s="3">
        <v>352</v>
      </c>
      <c r="D297" s="3">
        <v>290</v>
      </c>
      <c r="E297" s="3">
        <v>48243</v>
      </c>
      <c r="F297" s="3">
        <v>47579</v>
      </c>
      <c r="G297" s="3">
        <v>11</v>
      </c>
      <c r="H297" s="3">
        <f t="shared" si="11"/>
        <v>4353</v>
      </c>
    </row>
    <row r="298" spans="1:8" x14ac:dyDescent="0.3">
      <c r="A298" s="3" t="s">
        <v>18</v>
      </c>
      <c r="B298" s="3">
        <v>2291</v>
      </c>
      <c r="C298" s="3">
        <v>78</v>
      </c>
      <c r="D298" s="3">
        <v>485</v>
      </c>
      <c r="E298" s="3">
        <v>18328</v>
      </c>
      <c r="F298" s="3">
        <v>18101</v>
      </c>
      <c r="G298" s="3">
        <v>10</v>
      </c>
      <c r="H298" s="3">
        <f t="shared" si="11"/>
        <v>2854</v>
      </c>
    </row>
    <row r="299" spans="1:8" x14ac:dyDescent="0.3">
      <c r="A299" s="3" t="s">
        <v>23</v>
      </c>
      <c r="B299" s="3">
        <v>4419</v>
      </c>
      <c r="C299" s="3">
        <v>236</v>
      </c>
      <c r="D299" s="3">
        <v>369</v>
      </c>
      <c r="E299" s="3">
        <v>44190</v>
      </c>
      <c r="F299" s="3">
        <v>43582</v>
      </c>
      <c r="G299" s="3">
        <v>10</v>
      </c>
      <c r="H299" s="3">
        <f t="shared" si="11"/>
        <v>5024</v>
      </c>
    </row>
    <row r="300" spans="1:8" x14ac:dyDescent="0.3">
      <c r="A300" s="3" t="s">
        <v>18</v>
      </c>
      <c r="B300" s="3">
        <v>4182</v>
      </c>
      <c r="C300" s="3">
        <v>640</v>
      </c>
      <c r="D300" s="3">
        <v>240</v>
      </c>
      <c r="E300" s="3">
        <v>50184</v>
      </c>
      <c r="F300" s="3">
        <v>49351</v>
      </c>
      <c r="G300" s="3">
        <v>10</v>
      </c>
      <c r="H300" s="3">
        <f t="shared" si="11"/>
        <v>5062</v>
      </c>
    </row>
    <row r="301" spans="1:8" x14ac:dyDescent="0.3">
      <c r="A301" s="3" t="s">
        <v>38</v>
      </c>
      <c r="B301" s="3">
        <v>4332</v>
      </c>
      <c r="C301" s="3">
        <v>771</v>
      </c>
      <c r="D301" s="3">
        <v>219</v>
      </c>
      <c r="E301" s="3">
        <v>60648</v>
      </c>
      <c r="F301" s="3">
        <v>60397</v>
      </c>
      <c r="G301" s="3">
        <v>10</v>
      </c>
      <c r="H301" s="3">
        <f t="shared" si="11"/>
        <v>5322</v>
      </c>
    </row>
  </sheetData>
  <pageMargins left="0.7" right="0.7" top="0.75" bottom="0.75" header="0.3" footer="0.3"/>
  <pageSetup orientation="portrait" r:id="rId2"/>
  <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92662D-F007-497D-90ED-FBE5AE1F69AF}">
  <dimension ref="A1:AA340"/>
  <sheetViews>
    <sheetView topLeftCell="O29" workbookViewId="0">
      <selection activeCell="AA29" sqref="AA29"/>
    </sheetView>
  </sheetViews>
  <sheetFormatPr defaultRowHeight="14.4" x14ac:dyDescent="0.3"/>
  <cols>
    <col min="3" max="3" width="10.33203125" bestFit="1" customWidth="1"/>
    <col min="14" max="14" width="8.88671875" style="13"/>
    <col min="16" max="16" width="14.5546875" bestFit="1" customWidth="1"/>
    <col min="17" max="19" width="25.77734375" bestFit="1" customWidth="1"/>
    <col min="20" max="20" width="16.6640625" bestFit="1" customWidth="1"/>
    <col min="21" max="22" width="25.77734375" bestFit="1" customWidth="1"/>
  </cols>
  <sheetData>
    <row r="1" spans="1:20" x14ac:dyDescent="0.3">
      <c r="A1" s="1" t="s">
        <v>0</v>
      </c>
      <c r="B1" s="1" t="s">
        <v>1</v>
      </c>
      <c r="C1" s="1" t="s">
        <v>2</v>
      </c>
      <c r="D1" s="1" t="s">
        <v>3</v>
      </c>
      <c r="E1" s="1" t="s">
        <v>4</v>
      </c>
      <c r="F1" s="1" t="s">
        <v>5</v>
      </c>
      <c r="G1" s="1" t="s">
        <v>6</v>
      </c>
      <c r="H1" s="1" t="s">
        <v>7</v>
      </c>
      <c r="I1" s="1" t="s">
        <v>8</v>
      </c>
      <c r="J1" s="1" t="s">
        <v>9</v>
      </c>
      <c r="K1" s="19" t="s">
        <v>10</v>
      </c>
      <c r="L1" s="19" t="s">
        <v>492</v>
      </c>
      <c r="M1" s="19" t="s">
        <v>11</v>
      </c>
      <c r="N1" s="13" t="s">
        <v>489</v>
      </c>
      <c r="S1" s="4" t="s">
        <v>1885</v>
      </c>
    </row>
    <row r="2" spans="1:20" x14ac:dyDescent="0.3">
      <c r="A2" t="s">
        <v>136</v>
      </c>
      <c r="B2" t="s">
        <v>23</v>
      </c>
      <c r="C2" s="24">
        <v>45649</v>
      </c>
      <c r="D2" t="s">
        <v>53</v>
      </c>
      <c r="E2" t="s">
        <v>493</v>
      </c>
      <c r="F2">
        <v>1461</v>
      </c>
      <c r="G2">
        <v>184</v>
      </c>
      <c r="H2">
        <v>344</v>
      </c>
      <c r="I2">
        <v>21915</v>
      </c>
      <c r="J2">
        <v>21675</v>
      </c>
      <c r="K2">
        <v>15</v>
      </c>
      <c r="L2" t="s">
        <v>494</v>
      </c>
      <c r="M2" t="s">
        <v>495</v>
      </c>
      <c r="N2">
        <v>9.0759753593429152E-2</v>
      </c>
      <c r="P2" s="4" t="s">
        <v>488</v>
      </c>
    </row>
    <row r="3" spans="1:20" x14ac:dyDescent="0.3">
      <c r="A3" t="s">
        <v>136</v>
      </c>
      <c r="B3" t="s">
        <v>23</v>
      </c>
      <c r="C3" s="24">
        <v>45649</v>
      </c>
      <c r="D3" t="s">
        <v>53</v>
      </c>
      <c r="E3" t="s">
        <v>493</v>
      </c>
      <c r="F3">
        <v>1461</v>
      </c>
      <c r="G3">
        <v>184</v>
      </c>
      <c r="H3">
        <v>344</v>
      </c>
      <c r="I3">
        <v>21915</v>
      </c>
      <c r="J3">
        <v>21675</v>
      </c>
      <c r="K3">
        <v>15</v>
      </c>
      <c r="L3" t="s">
        <v>496</v>
      </c>
      <c r="M3" t="s">
        <v>495</v>
      </c>
      <c r="N3">
        <v>9.0759753593429152E-2</v>
      </c>
      <c r="P3" s="4" t="s">
        <v>1883</v>
      </c>
      <c r="S3" s="5" t="s">
        <v>1886</v>
      </c>
      <c r="T3" t="s">
        <v>490</v>
      </c>
    </row>
    <row r="4" spans="1:20" x14ac:dyDescent="0.3">
      <c r="A4" t="s">
        <v>352</v>
      </c>
      <c r="B4" t="s">
        <v>23</v>
      </c>
      <c r="C4" s="24">
        <v>45750</v>
      </c>
      <c r="D4" t="s">
        <v>45</v>
      </c>
      <c r="E4" t="s">
        <v>497</v>
      </c>
      <c r="F4">
        <v>4054</v>
      </c>
      <c r="G4">
        <v>389</v>
      </c>
      <c r="H4">
        <v>493</v>
      </c>
      <c r="I4">
        <v>64864</v>
      </c>
      <c r="J4">
        <v>64383</v>
      </c>
      <c r="K4">
        <v>117</v>
      </c>
      <c r="L4" t="s">
        <v>498</v>
      </c>
      <c r="M4" t="s">
        <v>499</v>
      </c>
      <c r="N4">
        <v>7.6097681302417369E-2</v>
      </c>
      <c r="S4" s="6" t="s">
        <v>496</v>
      </c>
      <c r="T4">
        <v>0.11443249811045024</v>
      </c>
    </row>
    <row r="5" spans="1:20" x14ac:dyDescent="0.3">
      <c r="A5" t="s">
        <v>352</v>
      </c>
      <c r="B5" t="s">
        <v>23</v>
      </c>
      <c r="C5" s="24">
        <v>45750</v>
      </c>
      <c r="D5" t="s">
        <v>45</v>
      </c>
      <c r="E5" t="s">
        <v>497</v>
      </c>
      <c r="F5">
        <v>4054</v>
      </c>
      <c r="G5">
        <v>389</v>
      </c>
      <c r="H5">
        <v>493</v>
      </c>
      <c r="I5">
        <v>64864</v>
      </c>
      <c r="J5">
        <v>64383</v>
      </c>
      <c r="K5">
        <v>117</v>
      </c>
      <c r="L5" t="s">
        <v>500</v>
      </c>
      <c r="M5" t="s">
        <v>499</v>
      </c>
      <c r="N5">
        <v>7.6097681302417369E-2</v>
      </c>
      <c r="P5" s="5" t="s">
        <v>433</v>
      </c>
      <c r="Q5" t="s">
        <v>1884</v>
      </c>
      <c r="S5" s="6" t="s">
        <v>500</v>
      </c>
      <c r="T5">
        <v>0.1329552783269681</v>
      </c>
    </row>
    <row r="6" spans="1:20" x14ac:dyDescent="0.3">
      <c r="A6" t="s">
        <v>251</v>
      </c>
      <c r="B6" t="s">
        <v>501</v>
      </c>
      <c r="C6" s="24">
        <v>45789</v>
      </c>
      <c r="D6" t="s">
        <v>53</v>
      </c>
      <c r="E6" t="s">
        <v>502</v>
      </c>
      <c r="F6">
        <v>2795</v>
      </c>
      <c r="G6">
        <v>105</v>
      </c>
      <c r="H6">
        <v>49</v>
      </c>
      <c r="I6">
        <v>53105</v>
      </c>
      <c r="J6">
        <v>52307</v>
      </c>
      <c r="K6">
        <v>204</v>
      </c>
      <c r="L6" t="s">
        <v>498</v>
      </c>
      <c r="M6" t="s">
        <v>503</v>
      </c>
      <c r="N6">
        <v>5.5531494209584788E-2</v>
      </c>
      <c r="P6" s="6" t="s">
        <v>496</v>
      </c>
      <c r="Q6">
        <v>15</v>
      </c>
      <c r="S6" s="6" t="s">
        <v>505</v>
      </c>
      <c r="T6">
        <v>0.15611588590533712</v>
      </c>
    </row>
    <row r="7" spans="1:20" x14ac:dyDescent="0.3">
      <c r="A7" t="s">
        <v>247</v>
      </c>
      <c r="B7" t="s">
        <v>38</v>
      </c>
      <c r="C7" s="24">
        <v>45516</v>
      </c>
      <c r="D7" t="s">
        <v>57</v>
      </c>
      <c r="E7" t="s">
        <v>504</v>
      </c>
      <c r="F7">
        <v>2404</v>
      </c>
      <c r="G7">
        <v>363</v>
      </c>
      <c r="H7">
        <v>138</v>
      </c>
      <c r="I7">
        <v>19232</v>
      </c>
      <c r="J7">
        <v>18636</v>
      </c>
      <c r="K7">
        <v>128</v>
      </c>
      <c r="L7" t="s">
        <v>505</v>
      </c>
      <c r="M7" t="s">
        <v>506</v>
      </c>
      <c r="N7">
        <v>0.15105033277870217</v>
      </c>
      <c r="P7" s="6" t="s">
        <v>500</v>
      </c>
      <c r="Q7">
        <v>7</v>
      </c>
      <c r="S7" s="6" t="s">
        <v>494</v>
      </c>
      <c r="T7">
        <v>0.14204438732000102</v>
      </c>
    </row>
    <row r="8" spans="1:20" x14ac:dyDescent="0.3">
      <c r="A8" t="s">
        <v>102</v>
      </c>
      <c r="B8" t="s">
        <v>501</v>
      </c>
      <c r="C8" s="24">
        <v>45469</v>
      </c>
      <c r="D8" t="s">
        <v>53</v>
      </c>
      <c r="E8" t="s">
        <v>502</v>
      </c>
      <c r="F8">
        <v>3557</v>
      </c>
      <c r="G8">
        <v>687</v>
      </c>
      <c r="H8">
        <v>424</v>
      </c>
      <c r="I8">
        <v>71140</v>
      </c>
      <c r="J8">
        <v>70701</v>
      </c>
      <c r="K8">
        <v>224</v>
      </c>
      <c r="L8" t="s">
        <v>505</v>
      </c>
      <c r="M8" t="s">
        <v>495</v>
      </c>
      <c r="N8">
        <v>6.5617093055946027E-2</v>
      </c>
      <c r="P8" s="6" t="s">
        <v>505</v>
      </c>
      <c r="Q8">
        <v>102</v>
      </c>
      <c r="S8" s="6" t="s">
        <v>527</v>
      </c>
      <c r="T8">
        <v>0.12867496466026568</v>
      </c>
    </row>
    <row r="9" spans="1:20" x14ac:dyDescent="0.3">
      <c r="A9" t="s">
        <v>102</v>
      </c>
      <c r="B9" t="s">
        <v>501</v>
      </c>
      <c r="C9" s="24">
        <v>45469</v>
      </c>
      <c r="D9" t="s">
        <v>53</v>
      </c>
      <c r="E9" t="s">
        <v>502</v>
      </c>
      <c r="F9">
        <v>3557</v>
      </c>
      <c r="G9">
        <v>687</v>
      </c>
      <c r="H9">
        <v>424</v>
      </c>
      <c r="I9">
        <v>71140</v>
      </c>
      <c r="J9">
        <v>70701</v>
      </c>
      <c r="K9">
        <v>224</v>
      </c>
      <c r="L9" t="s">
        <v>498</v>
      </c>
      <c r="M9" t="s">
        <v>495</v>
      </c>
      <c r="N9">
        <v>6.5617093055946027E-2</v>
      </c>
      <c r="P9" s="6" t="s">
        <v>494</v>
      </c>
      <c r="Q9">
        <v>103</v>
      </c>
      <c r="S9" s="6" t="s">
        <v>498</v>
      </c>
      <c r="T9">
        <v>0.15045632711959417</v>
      </c>
    </row>
    <row r="10" spans="1:20" x14ac:dyDescent="0.3">
      <c r="A10" t="s">
        <v>17</v>
      </c>
      <c r="B10" t="s">
        <v>18</v>
      </c>
      <c r="C10" s="24">
        <v>45596</v>
      </c>
      <c r="D10" t="s">
        <v>20</v>
      </c>
      <c r="E10" t="s">
        <v>507</v>
      </c>
      <c r="F10">
        <v>2945</v>
      </c>
      <c r="G10">
        <v>930</v>
      </c>
      <c r="H10">
        <v>355</v>
      </c>
      <c r="I10">
        <v>23560</v>
      </c>
      <c r="J10">
        <v>23275</v>
      </c>
      <c r="K10">
        <v>256</v>
      </c>
      <c r="L10" t="s">
        <v>498</v>
      </c>
      <c r="M10" t="s">
        <v>499</v>
      </c>
      <c r="N10">
        <v>0.17954159592529711</v>
      </c>
      <c r="P10" s="6" t="s">
        <v>527</v>
      </c>
      <c r="Q10">
        <v>5</v>
      </c>
      <c r="S10" s="6" t="s">
        <v>434</v>
      </c>
      <c r="T10">
        <v>0.14737129112453165</v>
      </c>
    </row>
    <row r="11" spans="1:20" x14ac:dyDescent="0.3">
      <c r="A11" t="s">
        <v>121</v>
      </c>
      <c r="B11" t="s">
        <v>23</v>
      </c>
      <c r="C11" s="24">
        <v>45467</v>
      </c>
      <c r="D11" t="s">
        <v>20</v>
      </c>
      <c r="E11" t="s">
        <v>508</v>
      </c>
      <c r="F11">
        <v>3860</v>
      </c>
      <c r="G11">
        <v>201</v>
      </c>
      <c r="H11">
        <v>279</v>
      </c>
      <c r="I11">
        <v>61760</v>
      </c>
      <c r="J11">
        <v>61660</v>
      </c>
      <c r="K11">
        <v>235</v>
      </c>
      <c r="L11" t="s">
        <v>498</v>
      </c>
      <c r="M11" t="s">
        <v>499</v>
      </c>
      <c r="N11">
        <v>7.0272020725388601E-2</v>
      </c>
      <c r="P11" s="6" t="s">
        <v>498</v>
      </c>
      <c r="Q11">
        <v>107</v>
      </c>
    </row>
    <row r="12" spans="1:20" x14ac:dyDescent="0.3">
      <c r="A12" t="s">
        <v>238</v>
      </c>
      <c r="B12" t="s">
        <v>501</v>
      </c>
      <c r="C12" s="24">
        <v>45486</v>
      </c>
      <c r="D12" t="s">
        <v>24</v>
      </c>
      <c r="E12" t="s">
        <v>509</v>
      </c>
      <c r="F12">
        <v>3929</v>
      </c>
      <c r="G12">
        <v>262</v>
      </c>
      <c r="H12">
        <v>278</v>
      </c>
      <c r="I12">
        <v>43219</v>
      </c>
      <c r="J12">
        <v>42841</v>
      </c>
      <c r="K12">
        <v>39</v>
      </c>
      <c r="L12" t="s">
        <v>505</v>
      </c>
      <c r="M12" t="s">
        <v>506</v>
      </c>
      <c r="N12">
        <v>0.10340359564080613</v>
      </c>
      <c r="P12" s="6" t="s">
        <v>434</v>
      </c>
      <c r="Q12">
        <v>339</v>
      </c>
    </row>
    <row r="13" spans="1:20" x14ac:dyDescent="0.3">
      <c r="A13" t="s">
        <v>44</v>
      </c>
      <c r="B13" t="s">
        <v>18</v>
      </c>
      <c r="C13" s="24">
        <v>45534</v>
      </c>
      <c r="D13" t="s">
        <v>45</v>
      </c>
      <c r="E13" t="s">
        <v>510</v>
      </c>
      <c r="F13">
        <v>3784</v>
      </c>
      <c r="G13">
        <v>808</v>
      </c>
      <c r="H13">
        <v>404</v>
      </c>
      <c r="I13">
        <v>56760</v>
      </c>
      <c r="J13">
        <v>56343</v>
      </c>
      <c r="K13">
        <v>131</v>
      </c>
      <c r="L13" t="s">
        <v>498</v>
      </c>
      <c r="M13" t="s">
        <v>499</v>
      </c>
      <c r="N13">
        <v>8.8019732205778717E-2</v>
      </c>
    </row>
    <row r="14" spans="1:20" x14ac:dyDescent="0.3">
      <c r="A14" t="s">
        <v>264</v>
      </c>
      <c r="B14" t="s">
        <v>18</v>
      </c>
      <c r="C14" s="24">
        <v>45727</v>
      </c>
      <c r="D14" t="s">
        <v>24</v>
      </c>
      <c r="E14" t="s">
        <v>511</v>
      </c>
      <c r="F14">
        <v>4241</v>
      </c>
      <c r="G14">
        <v>902</v>
      </c>
      <c r="H14">
        <v>47</v>
      </c>
      <c r="I14">
        <v>72097</v>
      </c>
      <c r="J14">
        <v>71598</v>
      </c>
      <c r="K14">
        <v>167</v>
      </c>
      <c r="L14" t="s">
        <v>498</v>
      </c>
      <c r="M14" t="s">
        <v>499</v>
      </c>
      <c r="N14">
        <v>7.198635172059864E-2</v>
      </c>
    </row>
    <row r="15" spans="1:20" x14ac:dyDescent="0.3">
      <c r="A15" t="s">
        <v>372</v>
      </c>
      <c r="B15" t="s">
        <v>38</v>
      </c>
      <c r="C15" s="24">
        <v>45690</v>
      </c>
      <c r="D15" t="s">
        <v>57</v>
      </c>
      <c r="E15" t="s">
        <v>504</v>
      </c>
      <c r="F15">
        <v>1792</v>
      </c>
      <c r="G15">
        <v>614</v>
      </c>
      <c r="H15">
        <v>497</v>
      </c>
      <c r="I15">
        <v>25088</v>
      </c>
      <c r="J15">
        <v>24675</v>
      </c>
      <c r="K15">
        <v>65</v>
      </c>
      <c r="L15" t="s">
        <v>494</v>
      </c>
      <c r="M15" t="s">
        <v>506</v>
      </c>
      <c r="N15">
        <v>0.11571269132653061</v>
      </c>
    </row>
    <row r="16" spans="1:20" x14ac:dyDescent="0.3">
      <c r="A16" t="s">
        <v>166</v>
      </c>
      <c r="B16" t="s">
        <v>18</v>
      </c>
      <c r="C16" s="24">
        <v>45494</v>
      </c>
      <c r="D16" t="s">
        <v>53</v>
      </c>
      <c r="E16" t="s">
        <v>512</v>
      </c>
      <c r="F16">
        <v>1946</v>
      </c>
      <c r="G16">
        <v>686</v>
      </c>
      <c r="H16">
        <v>377</v>
      </c>
      <c r="I16">
        <v>23352</v>
      </c>
      <c r="J16">
        <v>22982</v>
      </c>
      <c r="K16">
        <v>213</v>
      </c>
      <c r="L16" t="s">
        <v>494</v>
      </c>
      <c r="M16" t="s">
        <v>503</v>
      </c>
      <c r="N16">
        <v>0.12885405960945528</v>
      </c>
    </row>
    <row r="17" spans="1:27" x14ac:dyDescent="0.3">
      <c r="A17" t="s">
        <v>187</v>
      </c>
      <c r="B17" t="s">
        <v>501</v>
      </c>
      <c r="C17" s="24">
        <v>45614</v>
      </c>
      <c r="D17" t="s">
        <v>20</v>
      </c>
      <c r="E17" t="s">
        <v>513</v>
      </c>
      <c r="F17">
        <v>1171</v>
      </c>
      <c r="G17">
        <v>286</v>
      </c>
      <c r="H17">
        <v>231</v>
      </c>
      <c r="I17">
        <v>22249</v>
      </c>
      <c r="J17">
        <v>21282</v>
      </c>
      <c r="K17">
        <v>114</v>
      </c>
      <c r="L17" t="s">
        <v>505</v>
      </c>
      <c r="M17" t="s">
        <v>495</v>
      </c>
      <c r="N17">
        <v>7.5868578363072495E-2</v>
      </c>
    </row>
    <row r="18" spans="1:27" x14ac:dyDescent="0.3">
      <c r="A18" t="s">
        <v>216</v>
      </c>
      <c r="B18" t="s">
        <v>18</v>
      </c>
      <c r="C18" s="24">
        <v>45704</v>
      </c>
      <c r="D18" t="s">
        <v>57</v>
      </c>
      <c r="E18" t="s">
        <v>514</v>
      </c>
      <c r="F18">
        <v>4242</v>
      </c>
      <c r="G18">
        <v>555</v>
      </c>
      <c r="H18">
        <v>131</v>
      </c>
      <c r="I18">
        <v>33936</v>
      </c>
      <c r="J18">
        <v>33802</v>
      </c>
      <c r="K18">
        <v>265</v>
      </c>
      <c r="L18" t="s">
        <v>494</v>
      </c>
      <c r="N18">
        <v>0.14521452145214522</v>
      </c>
    </row>
    <row r="19" spans="1:27" x14ac:dyDescent="0.3">
      <c r="A19" t="s">
        <v>117</v>
      </c>
      <c r="B19" t="s">
        <v>18</v>
      </c>
      <c r="C19" s="24">
        <v>45589</v>
      </c>
      <c r="D19" t="s">
        <v>14</v>
      </c>
      <c r="E19" t="s">
        <v>515</v>
      </c>
      <c r="F19">
        <v>3888</v>
      </c>
      <c r="G19">
        <v>604</v>
      </c>
      <c r="H19">
        <v>128</v>
      </c>
      <c r="I19">
        <v>77760</v>
      </c>
      <c r="J19">
        <v>77167</v>
      </c>
      <c r="K19">
        <v>20</v>
      </c>
      <c r="L19" t="s">
        <v>494</v>
      </c>
      <c r="M19" t="s">
        <v>495</v>
      </c>
      <c r="N19">
        <v>5.941358024691358E-2</v>
      </c>
    </row>
    <row r="20" spans="1:27" x14ac:dyDescent="0.3">
      <c r="A20" t="s">
        <v>98</v>
      </c>
      <c r="B20" t="s">
        <v>18</v>
      </c>
      <c r="C20" s="24">
        <v>45530</v>
      </c>
      <c r="D20" t="s">
        <v>45</v>
      </c>
      <c r="E20" t="s">
        <v>510</v>
      </c>
      <c r="F20">
        <v>3452</v>
      </c>
      <c r="G20">
        <v>377</v>
      </c>
      <c r="H20">
        <v>360</v>
      </c>
      <c r="I20">
        <v>55232</v>
      </c>
      <c r="J20">
        <v>55075</v>
      </c>
      <c r="K20">
        <v>87</v>
      </c>
      <c r="L20" t="s">
        <v>494</v>
      </c>
      <c r="M20" t="s">
        <v>503</v>
      </c>
      <c r="N20">
        <v>7.5843713789107758E-2</v>
      </c>
    </row>
    <row r="21" spans="1:27" x14ac:dyDescent="0.3">
      <c r="A21" t="s">
        <v>328</v>
      </c>
      <c r="B21" t="s">
        <v>18</v>
      </c>
      <c r="C21" s="24">
        <v>45782</v>
      </c>
      <c r="D21" t="s">
        <v>45</v>
      </c>
      <c r="E21" t="s">
        <v>510</v>
      </c>
      <c r="F21">
        <v>4441</v>
      </c>
      <c r="G21">
        <v>511</v>
      </c>
      <c r="H21">
        <v>70</v>
      </c>
      <c r="I21">
        <v>53292</v>
      </c>
      <c r="J21">
        <v>53082</v>
      </c>
      <c r="K21">
        <v>159</v>
      </c>
      <c r="L21" t="s">
        <v>505</v>
      </c>
      <c r="M21" t="s">
        <v>506</v>
      </c>
      <c r="N21">
        <v>9.4235532537716729E-2</v>
      </c>
    </row>
    <row r="22" spans="1:27" x14ac:dyDescent="0.3">
      <c r="A22" t="s">
        <v>179</v>
      </c>
      <c r="B22" t="s">
        <v>38</v>
      </c>
      <c r="C22" s="24">
        <v>45523</v>
      </c>
      <c r="D22" t="s">
        <v>53</v>
      </c>
      <c r="E22" t="s">
        <v>516</v>
      </c>
      <c r="F22">
        <v>3000</v>
      </c>
      <c r="G22">
        <v>382</v>
      </c>
      <c r="H22">
        <v>325</v>
      </c>
      <c r="I22">
        <v>36000</v>
      </c>
      <c r="J22">
        <v>35819</v>
      </c>
      <c r="K22">
        <v>19</v>
      </c>
      <c r="L22" t="s">
        <v>494</v>
      </c>
      <c r="M22" t="s">
        <v>495</v>
      </c>
      <c r="N22">
        <v>0.10297222222222223</v>
      </c>
    </row>
    <row r="23" spans="1:27" x14ac:dyDescent="0.3">
      <c r="A23" t="s">
        <v>140</v>
      </c>
      <c r="B23" t="s">
        <v>38</v>
      </c>
      <c r="C23" s="24">
        <v>45466</v>
      </c>
      <c r="D23" t="s">
        <v>14</v>
      </c>
      <c r="E23" t="s">
        <v>517</v>
      </c>
      <c r="F23">
        <v>1071</v>
      </c>
      <c r="G23">
        <v>519</v>
      </c>
      <c r="H23">
        <v>22</v>
      </c>
      <c r="I23">
        <v>16065</v>
      </c>
      <c r="J23">
        <v>15865</v>
      </c>
      <c r="K23">
        <v>103</v>
      </c>
      <c r="L23" t="s">
        <v>498</v>
      </c>
      <c r="M23" t="s">
        <v>506</v>
      </c>
      <c r="N23">
        <v>0.10034235916588857</v>
      </c>
    </row>
    <row r="24" spans="1:27" x14ac:dyDescent="0.3">
      <c r="A24" t="s">
        <v>284</v>
      </c>
      <c r="B24" t="s">
        <v>38</v>
      </c>
      <c r="C24" s="24">
        <v>45544</v>
      </c>
      <c r="D24" t="s">
        <v>20</v>
      </c>
      <c r="E24" t="s">
        <v>518</v>
      </c>
      <c r="F24">
        <v>4054</v>
      </c>
      <c r="G24">
        <v>488</v>
      </c>
      <c r="H24">
        <v>373</v>
      </c>
      <c r="I24">
        <v>77026</v>
      </c>
      <c r="J24">
        <v>76881</v>
      </c>
      <c r="K24">
        <v>25</v>
      </c>
      <c r="L24" t="s">
        <v>498</v>
      </c>
      <c r="M24" t="s">
        <v>495</v>
      </c>
      <c r="N24">
        <v>6.3809622724794221E-2</v>
      </c>
    </row>
    <row r="25" spans="1:27" x14ac:dyDescent="0.3">
      <c r="A25" t="s">
        <v>341</v>
      </c>
      <c r="B25" t="s">
        <v>38</v>
      </c>
      <c r="C25" s="24">
        <v>45661</v>
      </c>
      <c r="D25" t="s">
        <v>53</v>
      </c>
      <c r="E25" t="s">
        <v>516</v>
      </c>
      <c r="F25">
        <v>4838</v>
      </c>
      <c r="G25">
        <v>640</v>
      </c>
      <c r="H25">
        <v>128</v>
      </c>
      <c r="I25">
        <v>72570</v>
      </c>
      <c r="J25">
        <v>72396</v>
      </c>
      <c r="K25">
        <v>83</v>
      </c>
      <c r="L25" t="s">
        <v>494</v>
      </c>
      <c r="M25" t="s">
        <v>506</v>
      </c>
      <c r="N25">
        <v>7.7249552156538517E-2</v>
      </c>
    </row>
    <row r="26" spans="1:27" x14ac:dyDescent="0.3">
      <c r="A26" t="s">
        <v>91</v>
      </c>
      <c r="B26" t="s">
        <v>18</v>
      </c>
      <c r="C26" s="24">
        <v>45715</v>
      </c>
      <c r="D26" t="s">
        <v>45</v>
      </c>
      <c r="E26" t="s">
        <v>510</v>
      </c>
      <c r="F26">
        <v>1570</v>
      </c>
      <c r="G26">
        <v>187</v>
      </c>
      <c r="H26">
        <v>260</v>
      </c>
      <c r="I26">
        <v>25120</v>
      </c>
      <c r="J26">
        <v>24613</v>
      </c>
      <c r="K26">
        <v>133</v>
      </c>
      <c r="L26" t="s">
        <v>498</v>
      </c>
      <c r="M26" t="s">
        <v>506</v>
      </c>
      <c r="N26">
        <v>8.0294585987261149E-2</v>
      </c>
      <c r="T26" s="4" t="s">
        <v>1888</v>
      </c>
    </row>
    <row r="27" spans="1:27" x14ac:dyDescent="0.3">
      <c r="A27" t="s">
        <v>308</v>
      </c>
      <c r="B27" t="s">
        <v>18</v>
      </c>
      <c r="C27" s="24">
        <v>45602</v>
      </c>
      <c r="D27" t="s">
        <v>14</v>
      </c>
      <c r="E27" t="s">
        <v>515</v>
      </c>
      <c r="F27">
        <v>1606</v>
      </c>
      <c r="G27">
        <v>547</v>
      </c>
      <c r="H27">
        <v>316</v>
      </c>
      <c r="I27">
        <v>32120</v>
      </c>
      <c r="J27">
        <v>31736</v>
      </c>
      <c r="K27">
        <v>225</v>
      </c>
      <c r="L27" t="s">
        <v>498</v>
      </c>
      <c r="M27" t="s">
        <v>499</v>
      </c>
      <c r="N27">
        <v>7.6867995018679955E-2</v>
      </c>
      <c r="T27" s="31" t="s">
        <v>1</v>
      </c>
      <c r="U27" s="30" t="s">
        <v>3</v>
      </c>
      <c r="V27" s="30"/>
      <c r="W27" s="30"/>
      <c r="X27" s="30"/>
      <c r="Y27" s="30"/>
      <c r="Z27" s="30"/>
      <c r="AA27" s="31" t="s">
        <v>1889</v>
      </c>
    </row>
    <row r="28" spans="1:27" x14ac:dyDescent="0.3">
      <c r="A28" t="s">
        <v>308</v>
      </c>
      <c r="B28" t="s">
        <v>18</v>
      </c>
      <c r="C28" s="24">
        <v>45602</v>
      </c>
      <c r="D28" t="s">
        <v>14</v>
      </c>
      <c r="E28" t="s">
        <v>515</v>
      </c>
      <c r="F28">
        <v>1606</v>
      </c>
      <c r="G28">
        <v>547</v>
      </c>
      <c r="H28">
        <v>316</v>
      </c>
      <c r="I28">
        <v>32120</v>
      </c>
      <c r="J28">
        <v>31736</v>
      </c>
      <c r="K28">
        <v>225</v>
      </c>
      <c r="L28" t="s">
        <v>496</v>
      </c>
      <c r="M28" t="s">
        <v>499</v>
      </c>
      <c r="N28">
        <v>7.6867995018679955E-2</v>
      </c>
      <c r="T28" s="31"/>
      <c r="U28" s="28" t="s">
        <v>20</v>
      </c>
      <c r="V28" s="28" t="s">
        <v>24</v>
      </c>
      <c r="W28" s="28" t="s">
        <v>53</v>
      </c>
      <c r="X28" s="28" t="s">
        <v>57</v>
      </c>
      <c r="Y28" s="28" t="s">
        <v>45</v>
      </c>
      <c r="Z28" s="28" t="s">
        <v>14</v>
      </c>
      <c r="AA28" s="31"/>
    </row>
    <row r="29" spans="1:27" x14ac:dyDescent="0.3">
      <c r="A29" t="s">
        <v>143</v>
      </c>
      <c r="B29" t="s">
        <v>18</v>
      </c>
      <c r="C29" s="24">
        <v>45680</v>
      </c>
      <c r="D29" t="s">
        <v>14</v>
      </c>
      <c r="E29" t="s">
        <v>515</v>
      </c>
      <c r="F29">
        <v>3961</v>
      </c>
      <c r="G29">
        <v>761</v>
      </c>
      <c r="H29">
        <v>131</v>
      </c>
      <c r="I29">
        <v>67337</v>
      </c>
      <c r="J29">
        <v>66615</v>
      </c>
      <c r="K29">
        <v>161</v>
      </c>
      <c r="L29" t="s">
        <v>494</v>
      </c>
      <c r="M29" t="s">
        <v>503</v>
      </c>
      <c r="N29">
        <v>7.2070332803659209E-2</v>
      </c>
      <c r="T29" s="3" t="s">
        <v>18</v>
      </c>
      <c r="U29" s="3">
        <v>0.11820589815604368</v>
      </c>
      <c r="V29" s="3">
        <v>0.11892682975133066</v>
      </c>
      <c r="W29" s="3">
        <v>0.10810248159985612</v>
      </c>
      <c r="X29" s="3">
        <v>0.15898977777988452</v>
      </c>
      <c r="Y29" s="3">
        <v>0.10743951285512837</v>
      </c>
      <c r="Z29" s="3">
        <v>0.12899653614759146</v>
      </c>
      <c r="AA29" s="3">
        <f>MAX(U29:Z29)</f>
        <v>0.15898977777988452</v>
      </c>
    </row>
    <row r="30" spans="1:27" x14ac:dyDescent="0.3">
      <c r="A30" t="s">
        <v>273</v>
      </c>
      <c r="B30" t="s">
        <v>23</v>
      </c>
      <c r="C30" s="24">
        <v>45757</v>
      </c>
      <c r="D30" t="s">
        <v>20</v>
      </c>
      <c r="E30" t="s">
        <v>508</v>
      </c>
      <c r="F30">
        <v>3128</v>
      </c>
      <c r="G30">
        <v>211</v>
      </c>
      <c r="H30">
        <v>197</v>
      </c>
      <c r="I30">
        <v>59432</v>
      </c>
      <c r="J30">
        <v>59182</v>
      </c>
      <c r="K30">
        <v>238</v>
      </c>
      <c r="L30" t="s">
        <v>505</v>
      </c>
      <c r="N30">
        <v>5.9496567505720827E-2</v>
      </c>
      <c r="T30" s="3" t="s">
        <v>38</v>
      </c>
      <c r="U30" s="3">
        <v>0.14439860032256027</v>
      </c>
      <c r="V30" s="3">
        <v>0.14929862484025294</v>
      </c>
      <c r="W30" s="3">
        <v>0.26004033206333965</v>
      </c>
      <c r="X30" s="3">
        <v>0.24558274253543638</v>
      </c>
      <c r="Y30" s="3">
        <v>0.12920449104190179</v>
      </c>
      <c r="Z30" s="3">
        <v>0.2062396061640541</v>
      </c>
      <c r="AA30" s="3">
        <f>MAX(U30:Z30)</f>
        <v>0.26004033206333965</v>
      </c>
    </row>
    <row r="31" spans="1:27" x14ac:dyDescent="0.3">
      <c r="A31" t="s">
        <v>330</v>
      </c>
      <c r="B31" t="s">
        <v>501</v>
      </c>
      <c r="C31" s="24">
        <v>45752</v>
      </c>
      <c r="D31" t="s">
        <v>53</v>
      </c>
      <c r="E31" t="s">
        <v>502</v>
      </c>
      <c r="F31">
        <v>3009</v>
      </c>
      <c r="G31">
        <v>413</v>
      </c>
      <c r="H31">
        <v>358</v>
      </c>
      <c r="I31">
        <v>42126</v>
      </c>
      <c r="J31">
        <v>41309</v>
      </c>
      <c r="K31">
        <v>211</v>
      </c>
      <c r="L31" t="s">
        <v>494</v>
      </c>
      <c r="M31" t="s">
        <v>499</v>
      </c>
      <c r="N31">
        <v>8.9730807577268201E-2</v>
      </c>
      <c r="T31" s="3" t="s">
        <v>23</v>
      </c>
      <c r="U31" s="3">
        <v>0.15972488239914528</v>
      </c>
      <c r="V31" s="3">
        <v>0.14756648191377311</v>
      </c>
      <c r="W31" s="3">
        <v>0.12428081569427865</v>
      </c>
      <c r="X31" s="3">
        <v>0.18859716943319418</v>
      </c>
      <c r="Y31" s="3">
        <v>0.12088972902726508</v>
      </c>
      <c r="Z31" s="3">
        <v>0.11980876658677887</v>
      </c>
      <c r="AA31" s="3">
        <f>MAX(U31:Z31)</f>
        <v>0.18859716943319418</v>
      </c>
    </row>
    <row r="32" spans="1:27" x14ac:dyDescent="0.3">
      <c r="A32" t="s">
        <v>203</v>
      </c>
      <c r="B32" t="s">
        <v>501</v>
      </c>
      <c r="C32" s="24">
        <v>45552</v>
      </c>
      <c r="D32" t="s">
        <v>45</v>
      </c>
      <c r="E32" t="s">
        <v>519</v>
      </c>
      <c r="F32">
        <v>2076</v>
      </c>
      <c r="G32">
        <v>195</v>
      </c>
      <c r="H32">
        <v>104</v>
      </c>
      <c r="I32">
        <v>33216</v>
      </c>
      <c r="J32">
        <v>32244</v>
      </c>
      <c r="K32">
        <v>51</v>
      </c>
      <c r="L32" t="s">
        <v>494</v>
      </c>
      <c r="M32" t="s">
        <v>506</v>
      </c>
      <c r="N32">
        <v>7.1501685934489398E-2</v>
      </c>
      <c r="T32" s="3" t="s">
        <v>13</v>
      </c>
      <c r="U32" s="3">
        <v>0.17416554369953541</v>
      </c>
      <c r="V32" s="3">
        <v>0.15035567844671383</v>
      </c>
      <c r="W32" s="3">
        <v>0.11688583584797581</v>
      </c>
      <c r="X32" s="3">
        <v>9.4965330348360785E-2</v>
      </c>
      <c r="Y32" s="3">
        <v>0.11459217612964398</v>
      </c>
      <c r="Z32" s="3">
        <v>0.12968338256813228</v>
      </c>
      <c r="AA32" s="3">
        <f>MAX(U32:Z32)</f>
        <v>0.17416554369953541</v>
      </c>
    </row>
    <row r="33" spans="1:27" x14ac:dyDescent="0.3">
      <c r="A33" t="s">
        <v>338</v>
      </c>
      <c r="B33" t="s">
        <v>38</v>
      </c>
      <c r="C33" s="24">
        <v>45720</v>
      </c>
      <c r="D33" t="s">
        <v>14</v>
      </c>
      <c r="E33" t="s">
        <v>517</v>
      </c>
      <c r="F33">
        <v>432</v>
      </c>
      <c r="G33">
        <v>624</v>
      </c>
      <c r="H33">
        <v>123</v>
      </c>
      <c r="I33">
        <v>6912</v>
      </c>
      <c r="J33">
        <v>6259</v>
      </c>
      <c r="K33">
        <v>79</v>
      </c>
      <c r="L33" t="s">
        <v>494</v>
      </c>
      <c r="M33" t="s">
        <v>506</v>
      </c>
      <c r="N33">
        <v>0.17057291666666666</v>
      </c>
      <c r="T33" s="21" t="s">
        <v>434</v>
      </c>
      <c r="U33" s="21">
        <v>0.14814919934149995</v>
      </c>
      <c r="V33" s="21">
        <v>0.13687494054869698</v>
      </c>
      <c r="W33" s="21">
        <v>0.15615682164328953</v>
      </c>
      <c r="X33" s="21">
        <v>0.18425775384163351</v>
      </c>
      <c r="Y33" s="21">
        <v>0.11750673823506559</v>
      </c>
      <c r="Z33" s="21">
        <v>0.14814844474464284</v>
      </c>
      <c r="AA33" s="21">
        <f>MAX(U33:Z33)</f>
        <v>0.18425775384163351</v>
      </c>
    </row>
    <row r="34" spans="1:27" x14ac:dyDescent="0.3">
      <c r="A34" t="s">
        <v>37</v>
      </c>
      <c r="B34" t="s">
        <v>38</v>
      </c>
      <c r="C34" s="24">
        <v>45688</v>
      </c>
      <c r="D34" t="s">
        <v>20</v>
      </c>
      <c r="E34" t="s">
        <v>518</v>
      </c>
      <c r="F34">
        <v>2566</v>
      </c>
      <c r="G34">
        <v>118</v>
      </c>
      <c r="H34">
        <v>37</v>
      </c>
      <c r="I34">
        <v>12830</v>
      </c>
      <c r="J34">
        <v>12264</v>
      </c>
      <c r="K34">
        <v>221</v>
      </c>
      <c r="L34" t="s">
        <v>494</v>
      </c>
      <c r="M34" t="s">
        <v>503</v>
      </c>
      <c r="N34">
        <v>0.21208106001558846</v>
      </c>
    </row>
    <row r="35" spans="1:27" x14ac:dyDescent="0.3">
      <c r="A35" t="s">
        <v>114</v>
      </c>
      <c r="B35" t="s">
        <v>38</v>
      </c>
      <c r="C35" s="24">
        <v>45713</v>
      </c>
      <c r="D35" t="s">
        <v>14</v>
      </c>
      <c r="E35" t="s">
        <v>517</v>
      </c>
      <c r="F35">
        <v>3095</v>
      </c>
      <c r="G35">
        <v>39</v>
      </c>
      <c r="H35">
        <v>78</v>
      </c>
      <c r="I35">
        <v>55710</v>
      </c>
      <c r="J35">
        <v>54808</v>
      </c>
      <c r="K35">
        <v>93</v>
      </c>
      <c r="L35" t="s">
        <v>505</v>
      </c>
      <c r="N35">
        <v>5.7655717106444085E-2</v>
      </c>
    </row>
    <row r="36" spans="1:27" x14ac:dyDescent="0.3">
      <c r="A36" t="s">
        <v>212</v>
      </c>
      <c r="B36" t="s">
        <v>38</v>
      </c>
      <c r="C36" s="24">
        <v>45642</v>
      </c>
      <c r="D36" t="s">
        <v>45</v>
      </c>
      <c r="E36" t="s">
        <v>520</v>
      </c>
      <c r="F36">
        <v>438</v>
      </c>
      <c r="G36">
        <v>153</v>
      </c>
      <c r="H36">
        <v>275</v>
      </c>
      <c r="I36">
        <v>3066</v>
      </c>
      <c r="J36">
        <v>2701</v>
      </c>
      <c r="K36">
        <v>282</v>
      </c>
      <c r="L36" t="s">
        <v>498</v>
      </c>
      <c r="M36" t="s">
        <v>499</v>
      </c>
      <c r="N36">
        <v>0.28245270711024134</v>
      </c>
      <c r="P36" s="4" t="s">
        <v>1887</v>
      </c>
    </row>
    <row r="37" spans="1:27" x14ac:dyDescent="0.3">
      <c r="A37" t="s">
        <v>31</v>
      </c>
      <c r="B37" t="s">
        <v>23</v>
      </c>
      <c r="C37" s="24">
        <v>45504</v>
      </c>
      <c r="D37" t="s">
        <v>20</v>
      </c>
      <c r="E37" t="s">
        <v>508</v>
      </c>
      <c r="F37">
        <v>2278</v>
      </c>
      <c r="G37">
        <v>10</v>
      </c>
      <c r="H37">
        <v>321</v>
      </c>
      <c r="I37">
        <v>13668</v>
      </c>
      <c r="J37">
        <v>12676</v>
      </c>
      <c r="K37">
        <v>275</v>
      </c>
      <c r="L37" t="s">
        <v>505</v>
      </c>
      <c r="M37" t="s">
        <v>495</v>
      </c>
      <c r="N37">
        <v>0.19088381621305239</v>
      </c>
    </row>
    <row r="38" spans="1:27" x14ac:dyDescent="0.3">
      <c r="A38" t="s">
        <v>165</v>
      </c>
      <c r="B38" t="s">
        <v>18</v>
      </c>
      <c r="C38" s="24">
        <v>45525</v>
      </c>
      <c r="D38" t="s">
        <v>24</v>
      </c>
      <c r="E38" t="s">
        <v>511</v>
      </c>
      <c r="F38">
        <v>1407</v>
      </c>
      <c r="G38">
        <v>400</v>
      </c>
      <c r="H38">
        <v>351</v>
      </c>
      <c r="I38">
        <v>16884</v>
      </c>
      <c r="J38">
        <v>15954</v>
      </c>
      <c r="K38">
        <v>113</v>
      </c>
      <c r="L38" t="s">
        <v>498</v>
      </c>
      <c r="M38" t="s">
        <v>495</v>
      </c>
      <c r="N38">
        <v>0.12781331438047855</v>
      </c>
      <c r="P38" s="5" t="s">
        <v>3</v>
      </c>
      <c r="Q38" t="s">
        <v>490</v>
      </c>
    </row>
    <row r="39" spans="1:27" x14ac:dyDescent="0.3">
      <c r="A39" t="s">
        <v>103</v>
      </c>
      <c r="B39" t="s">
        <v>18</v>
      </c>
      <c r="C39" s="24">
        <v>45742</v>
      </c>
      <c r="D39" t="s">
        <v>45</v>
      </c>
      <c r="E39" t="s">
        <v>510</v>
      </c>
      <c r="F39">
        <v>1652</v>
      </c>
      <c r="G39">
        <v>89</v>
      </c>
      <c r="H39">
        <v>357</v>
      </c>
      <c r="I39">
        <v>29736</v>
      </c>
      <c r="J39">
        <v>28771</v>
      </c>
      <c r="K39">
        <v>215</v>
      </c>
      <c r="L39" t="s">
        <v>498</v>
      </c>
      <c r="M39" t="s">
        <v>503</v>
      </c>
      <c r="N39">
        <v>7.055421038471886E-2</v>
      </c>
      <c r="P39" s="6" t="s">
        <v>20</v>
      </c>
      <c r="Q39" s="13">
        <v>0.15393370813053933</v>
      </c>
    </row>
    <row r="40" spans="1:27" x14ac:dyDescent="0.3">
      <c r="A40" t="s">
        <v>42</v>
      </c>
      <c r="B40" t="s">
        <v>38</v>
      </c>
      <c r="C40" s="24">
        <v>45626</v>
      </c>
      <c r="D40" t="s">
        <v>14</v>
      </c>
      <c r="E40" t="s">
        <v>517</v>
      </c>
      <c r="F40">
        <v>3775</v>
      </c>
      <c r="G40">
        <v>16</v>
      </c>
      <c r="H40">
        <v>239</v>
      </c>
      <c r="I40">
        <v>33975</v>
      </c>
      <c r="J40">
        <v>33310</v>
      </c>
      <c r="K40">
        <v>271</v>
      </c>
      <c r="L40" t="s">
        <v>494</v>
      </c>
      <c r="M40" t="s">
        <v>499</v>
      </c>
      <c r="N40">
        <v>0.11861662987490802</v>
      </c>
      <c r="P40" s="6" t="s">
        <v>24</v>
      </c>
      <c r="Q40" s="13">
        <v>0.13322810574894689</v>
      </c>
    </row>
    <row r="41" spans="1:27" x14ac:dyDescent="0.3">
      <c r="A41" t="s">
        <v>182</v>
      </c>
      <c r="B41" t="s">
        <v>38</v>
      </c>
      <c r="C41" s="24">
        <v>45766</v>
      </c>
      <c r="D41" t="s">
        <v>57</v>
      </c>
      <c r="E41" t="s">
        <v>504</v>
      </c>
      <c r="F41">
        <v>4518</v>
      </c>
      <c r="G41">
        <v>285</v>
      </c>
      <c r="H41">
        <v>383</v>
      </c>
      <c r="I41">
        <v>67770</v>
      </c>
      <c r="J41">
        <v>67621</v>
      </c>
      <c r="K41">
        <v>31</v>
      </c>
      <c r="L41" t="s">
        <v>505</v>
      </c>
      <c r="M41" t="s">
        <v>499</v>
      </c>
      <c r="N41">
        <v>7.6523535487678915E-2</v>
      </c>
      <c r="P41" s="6" t="s">
        <v>14</v>
      </c>
      <c r="Q41" s="13">
        <v>0.14859893961139239</v>
      </c>
    </row>
    <row r="42" spans="1:27" x14ac:dyDescent="0.3">
      <c r="A42" t="s">
        <v>318</v>
      </c>
      <c r="B42" t="s">
        <v>18</v>
      </c>
      <c r="C42" s="24">
        <v>45663</v>
      </c>
      <c r="D42" t="s">
        <v>20</v>
      </c>
      <c r="E42" t="s">
        <v>507</v>
      </c>
      <c r="F42">
        <v>3024</v>
      </c>
      <c r="G42">
        <v>925</v>
      </c>
      <c r="H42">
        <v>350</v>
      </c>
      <c r="I42">
        <v>24192</v>
      </c>
      <c r="J42">
        <v>23518</v>
      </c>
      <c r="K42">
        <v>36</v>
      </c>
      <c r="L42" t="s">
        <v>505</v>
      </c>
      <c r="M42" t="s">
        <v>499</v>
      </c>
      <c r="N42">
        <v>0.17770337301587302</v>
      </c>
    </row>
    <row r="43" spans="1:27" x14ac:dyDescent="0.3">
      <c r="A43" t="s">
        <v>209</v>
      </c>
      <c r="B43" t="s">
        <v>501</v>
      </c>
      <c r="C43" s="24">
        <v>45705</v>
      </c>
      <c r="D43" t="s">
        <v>53</v>
      </c>
      <c r="E43" t="s">
        <v>502</v>
      </c>
      <c r="F43">
        <v>3138</v>
      </c>
      <c r="G43">
        <v>123</v>
      </c>
      <c r="H43">
        <v>291</v>
      </c>
      <c r="I43">
        <v>28242</v>
      </c>
      <c r="J43">
        <v>27550</v>
      </c>
      <c r="K43">
        <v>87</v>
      </c>
      <c r="L43" t="s">
        <v>498</v>
      </c>
      <c r="M43" t="s">
        <v>506</v>
      </c>
      <c r="N43">
        <v>0.12577012959422137</v>
      </c>
    </row>
    <row r="44" spans="1:27" x14ac:dyDescent="0.3">
      <c r="A44" t="s">
        <v>107</v>
      </c>
      <c r="B44" t="s">
        <v>18</v>
      </c>
      <c r="C44" s="24">
        <v>45621</v>
      </c>
      <c r="D44" t="s">
        <v>24</v>
      </c>
      <c r="E44" t="s">
        <v>511</v>
      </c>
      <c r="F44">
        <v>3564</v>
      </c>
      <c r="G44">
        <v>629</v>
      </c>
      <c r="H44">
        <v>177</v>
      </c>
      <c r="I44">
        <v>60588</v>
      </c>
      <c r="J44">
        <v>59627</v>
      </c>
      <c r="K44">
        <v>92</v>
      </c>
      <c r="L44" t="s">
        <v>498</v>
      </c>
      <c r="N44">
        <v>7.2126493695121141E-2</v>
      </c>
    </row>
    <row r="45" spans="1:27" x14ac:dyDescent="0.3">
      <c r="A45" t="s">
        <v>305</v>
      </c>
      <c r="B45" t="s">
        <v>23</v>
      </c>
      <c r="C45" s="24">
        <v>45723</v>
      </c>
      <c r="D45" t="s">
        <v>24</v>
      </c>
      <c r="E45" t="s">
        <v>521</v>
      </c>
      <c r="F45">
        <v>4750</v>
      </c>
      <c r="G45">
        <v>151</v>
      </c>
      <c r="H45">
        <v>415</v>
      </c>
      <c r="I45">
        <v>38000</v>
      </c>
      <c r="J45">
        <v>37792</v>
      </c>
      <c r="K45">
        <v>299</v>
      </c>
      <c r="L45" t="s">
        <v>505</v>
      </c>
      <c r="M45" t="s">
        <v>506</v>
      </c>
      <c r="N45">
        <v>0.13989473684210527</v>
      </c>
    </row>
    <row r="46" spans="1:27" x14ac:dyDescent="0.3">
      <c r="A46" t="s">
        <v>295</v>
      </c>
      <c r="B46" t="s">
        <v>38</v>
      </c>
      <c r="C46" s="24">
        <v>45724</v>
      </c>
      <c r="D46" t="s">
        <v>53</v>
      </c>
      <c r="E46" t="s">
        <v>516</v>
      </c>
      <c r="F46">
        <v>456</v>
      </c>
      <c r="G46">
        <v>629</v>
      </c>
      <c r="H46">
        <v>428</v>
      </c>
      <c r="I46">
        <v>8208</v>
      </c>
      <c r="J46">
        <v>7377</v>
      </c>
      <c r="K46">
        <v>205</v>
      </c>
      <c r="L46" t="s">
        <v>494</v>
      </c>
      <c r="M46" t="s">
        <v>506</v>
      </c>
      <c r="N46">
        <v>0.18433235867446393</v>
      </c>
    </row>
    <row r="47" spans="1:27" x14ac:dyDescent="0.3">
      <c r="A47" t="s">
        <v>331</v>
      </c>
      <c r="B47" t="s">
        <v>501</v>
      </c>
      <c r="C47" s="24">
        <v>45721</v>
      </c>
      <c r="D47" t="s">
        <v>53</v>
      </c>
      <c r="E47" t="s">
        <v>502</v>
      </c>
      <c r="F47">
        <v>1543</v>
      </c>
      <c r="G47">
        <v>820</v>
      </c>
      <c r="H47">
        <v>333</v>
      </c>
      <c r="I47">
        <v>12344</v>
      </c>
      <c r="J47">
        <v>11496</v>
      </c>
      <c r="K47">
        <v>241</v>
      </c>
      <c r="L47" t="s">
        <v>505</v>
      </c>
      <c r="N47">
        <v>0.21840570317563188</v>
      </c>
    </row>
    <row r="48" spans="1:27" x14ac:dyDescent="0.3">
      <c r="A48" t="s">
        <v>229</v>
      </c>
      <c r="B48" t="s">
        <v>38</v>
      </c>
      <c r="C48" s="24">
        <v>45640</v>
      </c>
      <c r="D48" t="s">
        <v>20</v>
      </c>
      <c r="E48" t="s">
        <v>518</v>
      </c>
      <c r="F48">
        <v>2174</v>
      </c>
      <c r="G48">
        <v>658</v>
      </c>
      <c r="H48">
        <v>15</v>
      </c>
      <c r="I48">
        <v>13044</v>
      </c>
      <c r="J48">
        <v>12206</v>
      </c>
      <c r="K48">
        <v>137</v>
      </c>
      <c r="L48" t="s">
        <v>498</v>
      </c>
      <c r="M48" t="s">
        <v>503</v>
      </c>
      <c r="N48">
        <v>0.21826126954921804</v>
      </c>
    </row>
    <row r="49" spans="1:14" x14ac:dyDescent="0.3">
      <c r="A49" t="s">
        <v>370</v>
      </c>
      <c r="B49" t="s">
        <v>23</v>
      </c>
      <c r="C49" s="24">
        <v>45718</v>
      </c>
      <c r="D49" t="s">
        <v>24</v>
      </c>
      <c r="E49" t="s">
        <v>521</v>
      </c>
      <c r="F49">
        <v>2358</v>
      </c>
      <c r="G49">
        <v>784</v>
      </c>
      <c r="H49">
        <v>344</v>
      </c>
      <c r="I49">
        <v>35370</v>
      </c>
      <c r="J49">
        <v>34475</v>
      </c>
      <c r="K49">
        <v>216</v>
      </c>
      <c r="L49" t="s">
        <v>498</v>
      </c>
      <c r="N49">
        <v>9.8558100084817649E-2</v>
      </c>
    </row>
    <row r="50" spans="1:14" x14ac:dyDescent="0.3">
      <c r="A50" t="s">
        <v>373</v>
      </c>
      <c r="B50" t="s">
        <v>18</v>
      </c>
      <c r="C50" s="24">
        <v>45597</v>
      </c>
      <c r="D50" t="s">
        <v>14</v>
      </c>
      <c r="E50" t="s">
        <v>515</v>
      </c>
      <c r="F50">
        <v>3371</v>
      </c>
      <c r="G50">
        <v>106</v>
      </c>
      <c r="H50">
        <v>327</v>
      </c>
      <c r="I50">
        <v>50565</v>
      </c>
      <c r="J50">
        <v>49816</v>
      </c>
      <c r="K50">
        <v>176</v>
      </c>
      <c r="L50" t="s">
        <v>494</v>
      </c>
      <c r="M50" t="s">
        <v>495</v>
      </c>
      <c r="N50">
        <v>7.5229902106199939E-2</v>
      </c>
    </row>
    <row r="51" spans="1:14" x14ac:dyDescent="0.3">
      <c r="A51" t="s">
        <v>368</v>
      </c>
      <c r="B51" t="s">
        <v>23</v>
      </c>
      <c r="C51" s="24">
        <v>45779</v>
      </c>
      <c r="D51" t="s">
        <v>14</v>
      </c>
      <c r="E51" t="s">
        <v>522</v>
      </c>
      <c r="F51">
        <v>1108</v>
      </c>
      <c r="G51">
        <v>177</v>
      </c>
      <c r="H51">
        <v>212</v>
      </c>
      <c r="I51">
        <v>8864</v>
      </c>
      <c r="J51">
        <v>8710</v>
      </c>
      <c r="K51">
        <v>97</v>
      </c>
      <c r="L51" t="s">
        <v>498</v>
      </c>
      <c r="M51" t="s">
        <v>506</v>
      </c>
      <c r="N51">
        <v>0.16888537906137185</v>
      </c>
    </row>
    <row r="52" spans="1:14" x14ac:dyDescent="0.3">
      <c r="A52" t="s">
        <v>130</v>
      </c>
      <c r="B52" t="s">
        <v>23</v>
      </c>
      <c r="C52" s="24">
        <v>45712</v>
      </c>
      <c r="D52" t="s">
        <v>20</v>
      </c>
      <c r="E52" t="s">
        <v>508</v>
      </c>
      <c r="F52">
        <v>2704</v>
      </c>
      <c r="G52">
        <v>752</v>
      </c>
      <c r="H52">
        <v>153</v>
      </c>
      <c r="I52">
        <v>21632</v>
      </c>
      <c r="J52">
        <v>20792</v>
      </c>
      <c r="K52">
        <v>127</v>
      </c>
      <c r="L52" t="s">
        <v>494</v>
      </c>
      <c r="N52">
        <v>0.16683616863905326</v>
      </c>
    </row>
    <row r="53" spans="1:14" x14ac:dyDescent="0.3">
      <c r="A53" t="s">
        <v>265</v>
      </c>
      <c r="B53" t="s">
        <v>23</v>
      </c>
      <c r="C53" s="24">
        <v>45727</v>
      </c>
      <c r="D53" t="s">
        <v>57</v>
      </c>
      <c r="E53" t="s">
        <v>523</v>
      </c>
      <c r="F53">
        <v>1950</v>
      </c>
      <c r="G53">
        <v>295</v>
      </c>
      <c r="H53">
        <v>478</v>
      </c>
      <c r="I53">
        <v>37050</v>
      </c>
      <c r="J53">
        <v>36272</v>
      </c>
      <c r="K53">
        <v>119</v>
      </c>
      <c r="L53" t="s">
        <v>498</v>
      </c>
      <c r="N53">
        <v>7.349527665317139E-2</v>
      </c>
    </row>
    <row r="54" spans="1:14" x14ac:dyDescent="0.3">
      <c r="A54" t="s">
        <v>270</v>
      </c>
      <c r="B54" t="s">
        <v>23</v>
      </c>
      <c r="C54" s="24">
        <v>45453</v>
      </c>
      <c r="D54" t="s">
        <v>57</v>
      </c>
      <c r="E54" t="s">
        <v>523</v>
      </c>
      <c r="F54">
        <v>2164</v>
      </c>
      <c r="G54">
        <v>549</v>
      </c>
      <c r="H54">
        <v>274</v>
      </c>
      <c r="I54">
        <v>28132</v>
      </c>
      <c r="J54">
        <v>27361</v>
      </c>
      <c r="K54">
        <v>177</v>
      </c>
      <c r="L54" t="s">
        <v>498</v>
      </c>
      <c r="M54" t="s">
        <v>506</v>
      </c>
      <c r="N54">
        <v>0.10617801791554102</v>
      </c>
    </row>
    <row r="55" spans="1:14" x14ac:dyDescent="0.3">
      <c r="A55" t="s">
        <v>349</v>
      </c>
      <c r="B55" t="s">
        <v>501</v>
      </c>
      <c r="C55" s="24">
        <v>45476</v>
      </c>
      <c r="D55" t="s">
        <v>57</v>
      </c>
      <c r="E55" t="s">
        <v>524</v>
      </c>
      <c r="F55">
        <v>2754</v>
      </c>
      <c r="G55">
        <v>130</v>
      </c>
      <c r="H55">
        <v>90</v>
      </c>
      <c r="I55">
        <v>22032</v>
      </c>
      <c r="J55">
        <v>21288</v>
      </c>
      <c r="K55">
        <v>112</v>
      </c>
      <c r="L55" t="s">
        <v>498</v>
      </c>
      <c r="M55" t="s">
        <v>503</v>
      </c>
      <c r="N55">
        <v>0.13498547567175018</v>
      </c>
    </row>
    <row r="56" spans="1:14" x14ac:dyDescent="0.3">
      <c r="A56" t="s">
        <v>240</v>
      </c>
      <c r="B56" t="s">
        <v>18</v>
      </c>
      <c r="C56" s="24">
        <v>45456</v>
      </c>
      <c r="D56" t="s">
        <v>20</v>
      </c>
      <c r="E56" t="s">
        <v>507</v>
      </c>
      <c r="F56">
        <v>2200</v>
      </c>
      <c r="G56">
        <v>504</v>
      </c>
      <c r="H56">
        <v>239</v>
      </c>
      <c r="I56">
        <v>37400</v>
      </c>
      <c r="J56">
        <v>36938</v>
      </c>
      <c r="K56">
        <v>225</v>
      </c>
      <c r="L56" t="s">
        <v>494</v>
      </c>
      <c r="M56" t="s">
        <v>499</v>
      </c>
      <c r="N56">
        <v>7.8689839572192513E-2</v>
      </c>
    </row>
    <row r="57" spans="1:14" x14ac:dyDescent="0.3">
      <c r="A57" t="s">
        <v>357</v>
      </c>
      <c r="B57" t="s">
        <v>18</v>
      </c>
      <c r="C57" s="24">
        <v>45660</v>
      </c>
      <c r="D57" t="s">
        <v>24</v>
      </c>
      <c r="E57" t="s">
        <v>511</v>
      </c>
      <c r="F57">
        <v>947</v>
      </c>
      <c r="G57">
        <v>338</v>
      </c>
      <c r="H57">
        <v>350</v>
      </c>
      <c r="I57">
        <v>10417</v>
      </c>
      <c r="J57">
        <v>9730</v>
      </c>
      <c r="K57">
        <v>34</v>
      </c>
      <c r="L57" t="s">
        <v>498</v>
      </c>
      <c r="M57" t="s">
        <v>506</v>
      </c>
      <c r="N57">
        <v>0.1569549774407219</v>
      </c>
    </row>
    <row r="58" spans="1:14" x14ac:dyDescent="0.3">
      <c r="A58" t="s">
        <v>132</v>
      </c>
      <c r="B58" t="s">
        <v>501</v>
      </c>
      <c r="C58" s="24">
        <v>45712</v>
      </c>
      <c r="D58" t="s">
        <v>20</v>
      </c>
      <c r="E58" t="s">
        <v>513</v>
      </c>
      <c r="F58">
        <v>804</v>
      </c>
      <c r="G58">
        <v>639</v>
      </c>
      <c r="H58">
        <v>43</v>
      </c>
      <c r="I58">
        <v>4020</v>
      </c>
      <c r="J58">
        <v>3144</v>
      </c>
      <c r="K58">
        <v>11</v>
      </c>
      <c r="L58" t="s">
        <v>505</v>
      </c>
      <c r="N58">
        <v>0.36965174129353234</v>
      </c>
    </row>
    <row r="59" spans="1:14" x14ac:dyDescent="0.3">
      <c r="A59" t="s">
        <v>132</v>
      </c>
      <c r="B59" t="s">
        <v>501</v>
      </c>
      <c r="C59" s="24">
        <v>45712</v>
      </c>
      <c r="D59" t="s">
        <v>20</v>
      </c>
      <c r="E59" t="s">
        <v>513</v>
      </c>
      <c r="F59">
        <v>804</v>
      </c>
      <c r="G59">
        <v>639</v>
      </c>
      <c r="H59">
        <v>43</v>
      </c>
      <c r="I59">
        <v>4020</v>
      </c>
      <c r="J59">
        <v>3144</v>
      </c>
      <c r="K59">
        <v>11</v>
      </c>
      <c r="L59" t="s">
        <v>500</v>
      </c>
      <c r="N59">
        <v>0.36965174129353234</v>
      </c>
    </row>
    <row r="60" spans="1:14" x14ac:dyDescent="0.3">
      <c r="A60" t="s">
        <v>243</v>
      </c>
      <c r="B60" t="s">
        <v>501</v>
      </c>
      <c r="C60" s="24">
        <v>45729</v>
      </c>
      <c r="D60" t="s">
        <v>20</v>
      </c>
      <c r="E60" t="s">
        <v>513</v>
      </c>
      <c r="F60">
        <v>1686</v>
      </c>
      <c r="G60">
        <v>904</v>
      </c>
      <c r="H60">
        <v>472</v>
      </c>
      <c r="I60">
        <v>18546</v>
      </c>
      <c r="J60">
        <v>18171</v>
      </c>
      <c r="K60">
        <v>52</v>
      </c>
      <c r="L60" t="s">
        <v>494</v>
      </c>
      <c r="M60" t="s">
        <v>499</v>
      </c>
      <c r="N60">
        <v>0.16510298716704411</v>
      </c>
    </row>
    <row r="61" spans="1:14" x14ac:dyDescent="0.3">
      <c r="A61" t="s">
        <v>207</v>
      </c>
      <c r="B61" t="s">
        <v>18</v>
      </c>
      <c r="C61" s="24">
        <v>45460</v>
      </c>
      <c r="D61" t="s">
        <v>24</v>
      </c>
      <c r="E61" t="s">
        <v>511</v>
      </c>
      <c r="F61">
        <v>1226</v>
      </c>
      <c r="G61">
        <v>119</v>
      </c>
      <c r="H61">
        <v>7</v>
      </c>
      <c r="I61">
        <v>14712</v>
      </c>
      <c r="J61">
        <v>14049</v>
      </c>
      <c r="K61">
        <v>123</v>
      </c>
      <c r="L61" t="s">
        <v>505</v>
      </c>
      <c r="M61" t="s">
        <v>506</v>
      </c>
      <c r="N61">
        <v>9.1897770527460579E-2</v>
      </c>
    </row>
    <row r="62" spans="1:14" x14ac:dyDescent="0.3">
      <c r="A62" t="s">
        <v>186</v>
      </c>
      <c r="B62" t="s">
        <v>18</v>
      </c>
      <c r="C62" s="24">
        <v>45644</v>
      </c>
      <c r="D62" t="s">
        <v>20</v>
      </c>
      <c r="E62" t="s">
        <v>507</v>
      </c>
      <c r="F62">
        <v>2946</v>
      </c>
      <c r="G62">
        <v>498</v>
      </c>
      <c r="H62">
        <v>367</v>
      </c>
      <c r="I62">
        <v>29460</v>
      </c>
      <c r="J62">
        <v>28527</v>
      </c>
      <c r="K62">
        <v>60</v>
      </c>
      <c r="L62" t="s">
        <v>494</v>
      </c>
      <c r="M62" t="s">
        <v>503</v>
      </c>
      <c r="N62">
        <v>0.12936184657162253</v>
      </c>
    </row>
    <row r="63" spans="1:14" x14ac:dyDescent="0.3">
      <c r="A63" t="s">
        <v>160</v>
      </c>
      <c r="B63" t="s">
        <v>23</v>
      </c>
      <c r="C63" s="24">
        <v>45586</v>
      </c>
      <c r="D63" t="s">
        <v>14</v>
      </c>
      <c r="E63" t="s">
        <v>522</v>
      </c>
      <c r="F63">
        <v>2825</v>
      </c>
      <c r="G63">
        <v>535</v>
      </c>
      <c r="H63">
        <v>295</v>
      </c>
      <c r="I63">
        <v>45200</v>
      </c>
      <c r="J63">
        <v>44739</v>
      </c>
      <c r="K63">
        <v>169</v>
      </c>
      <c r="L63" t="s">
        <v>498</v>
      </c>
      <c r="M63" t="s">
        <v>495</v>
      </c>
      <c r="N63">
        <v>8.0862831858407078E-2</v>
      </c>
    </row>
    <row r="64" spans="1:14" x14ac:dyDescent="0.3">
      <c r="A64" t="s">
        <v>225</v>
      </c>
      <c r="B64" t="s">
        <v>38</v>
      </c>
      <c r="C64" s="24">
        <v>45762</v>
      </c>
      <c r="D64" t="s">
        <v>53</v>
      </c>
      <c r="E64" t="s">
        <v>516</v>
      </c>
      <c r="F64">
        <v>103</v>
      </c>
      <c r="G64">
        <v>770</v>
      </c>
      <c r="H64">
        <v>19</v>
      </c>
      <c r="I64">
        <v>1030</v>
      </c>
      <c r="J64">
        <v>410</v>
      </c>
      <c r="K64">
        <v>262</v>
      </c>
      <c r="L64" t="s">
        <v>498</v>
      </c>
      <c r="M64" t="s">
        <v>506</v>
      </c>
      <c r="N64">
        <v>0.86601941747572819</v>
      </c>
    </row>
    <row r="65" spans="1:14" x14ac:dyDescent="0.3">
      <c r="A65" t="s">
        <v>153</v>
      </c>
      <c r="B65" t="s">
        <v>38</v>
      </c>
      <c r="C65" s="24">
        <v>45465</v>
      </c>
      <c r="D65" t="s">
        <v>45</v>
      </c>
      <c r="E65" t="s">
        <v>520</v>
      </c>
      <c r="F65">
        <v>2180</v>
      </c>
      <c r="G65">
        <v>263</v>
      </c>
      <c r="H65">
        <v>387</v>
      </c>
      <c r="I65">
        <v>30520</v>
      </c>
      <c r="J65">
        <v>30059</v>
      </c>
      <c r="K65">
        <v>174</v>
      </c>
      <c r="L65" t="s">
        <v>505</v>
      </c>
      <c r="N65">
        <v>9.2726081258191345E-2</v>
      </c>
    </row>
    <row r="66" spans="1:14" x14ac:dyDescent="0.3">
      <c r="A66" t="s">
        <v>81</v>
      </c>
      <c r="B66" t="s">
        <v>38</v>
      </c>
      <c r="C66" s="24">
        <v>45685</v>
      </c>
      <c r="D66" t="s">
        <v>14</v>
      </c>
      <c r="E66" t="s">
        <v>517</v>
      </c>
      <c r="F66">
        <v>904</v>
      </c>
      <c r="G66">
        <v>973</v>
      </c>
      <c r="H66">
        <v>63</v>
      </c>
      <c r="I66">
        <v>11752</v>
      </c>
      <c r="J66">
        <v>11580</v>
      </c>
      <c r="K66">
        <v>84</v>
      </c>
      <c r="L66" t="s">
        <v>505</v>
      </c>
      <c r="M66" t="s">
        <v>503</v>
      </c>
      <c r="N66">
        <v>0.1650782845473111</v>
      </c>
    </row>
    <row r="67" spans="1:14" x14ac:dyDescent="0.3">
      <c r="A67" t="s">
        <v>81</v>
      </c>
      <c r="B67" t="s">
        <v>38</v>
      </c>
      <c r="C67" s="24">
        <v>45685</v>
      </c>
      <c r="D67" t="s">
        <v>14</v>
      </c>
      <c r="E67" t="s">
        <v>517</v>
      </c>
      <c r="F67">
        <v>904</v>
      </c>
      <c r="G67">
        <v>973</v>
      </c>
      <c r="H67">
        <v>63</v>
      </c>
      <c r="I67">
        <v>11752</v>
      </c>
      <c r="J67">
        <v>11580</v>
      </c>
      <c r="K67">
        <v>84</v>
      </c>
      <c r="L67" t="s">
        <v>498</v>
      </c>
      <c r="M67" t="s">
        <v>503</v>
      </c>
      <c r="N67">
        <v>0.1650782845473111</v>
      </c>
    </row>
    <row r="68" spans="1:14" x14ac:dyDescent="0.3">
      <c r="A68" t="s">
        <v>81</v>
      </c>
      <c r="B68" t="s">
        <v>38</v>
      </c>
      <c r="C68" s="24">
        <v>45685</v>
      </c>
      <c r="D68" t="s">
        <v>14</v>
      </c>
      <c r="E68" t="s">
        <v>517</v>
      </c>
      <c r="F68">
        <v>904</v>
      </c>
      <c r="G68">
        <v>973</v>
      </c>
      <c r="H68">
        <v>63</v>
      </c>
      <c r="I68">
        <v>11752</v>
      </c>
      <c r="J68">
        <v>11580</v>
      </c>
      <c r="K68">
        <v>84</v>
      </c>
      <c r="L68" t="s">
        <v>496</v>
      </c>
      <c r="M68" t="s">
        <v>503</v>
      </c>
      <c r="N68">
        <v>0.1650782845473111</v>
      </c>
    </row>
    <row r="69" spans="1:14" x14ac:dyDescent="0.3">
      <c r="A69" t="s">
        <v>323</v>
      </c>
      <c r="B69" t="s">
        <v>23</v>
      </c>
      <c r="C69" s="24">
        <v>45540</v>
      </c>
      <c r="D69" t="s">
        <v>14</v>
      </c>
      <c r="E69" t="s">
        <v>522</v>
      </c>
      <c r="F69">
        <v>4886</v>
      </c>
      <c r="G69">
        <v>983</v>
      </c>
      <c r="H69">
        <v>409</v>
      </c>
      <c r="I69">
        <v>43974</v>
      </c>
      <c r="J69">
        <v>43239</v>
      </c>
      <c r="K69">
        <v>65</v>
      </c>
      <c r="L69" t="s">
        <v>498</v>
      </c>
      <c r="M69" t="s">
        <v>495</v>
      </c>
      <c r="N69">
        <v>0.14276618001546368</v>
      </c>
    </row>
    <row r="70" spans="1:14" x14ac:dyDescent="0.3">
      <c r="A70" t="s">
        <v>146</v>
      </c>
      <c r="B70" t="s">
        <v>23</v>
      </c>
      <c r="C70" s="24">
        <v>45618</v>
      </c>
      <c r="D70" t="s">
        <v>20</v>
      </c>
      <c r="E70" t="s">
        <v>508</v>
      </c>
      <c r="F70">
        <v>53</v>
      </c>
      <c r="G70">
        <v>81</v>
      </c>
      <c r="H70">
        <v>379</v>
      </c>
      <c r="I70">
        <v>954</v>
      </c>
      <c r="J70">
        <v>7</v>
      </c>
      <c r="K70">
        <v>148</v>
      </c>
      <c r="L70" t="s">
        <v>498</v>
      </c>
      <c r="M70" t="s">
        <v>503</v>
      </c>
      <c r="N70">
        <v>0.53773584905660377</v>
      </c>
    </row>
    <row r="71" spans="1:14" x14ac:dyDescent="0.3">
      <c r="A71" t="s">
        <v>29</v>
      </c>
      <c r="B71" t="s">
        <v>23</v>
      </c>
      <c r="C71" s="24">
        <v>45504</v>
      </c>
      <c r="D71" t="s">
        <v>20</v>
      </c>
      <c r="E71" t="s">
        <v>508</v>
      </c>
      <c r="F71">
        <v>4507</v>
      </c>
      <c r="G71">
        <v>217</v>
      </c>
      <c r="H71">
        <v>13</v>
      </c>
      <c r="I71">
        <v>90140</v>
      </c>
      <c r="J71">
        <v>89591</v>
      </c>
      <c r="K71">
        <v>125</v>
      </c>
      <c r="L71" t="s">
        <v>494</v>
      </c>
      <c r="M71" t="s">
        <v>503</v>
      </c>
      <c r="N71">
        <v>5.2551586421122697E-2</v>
      </c>
    </row>
    <row r="72" spans="1:14" x14ac:dyDescent="0.3">
      <c r="A72" t="s">
        <v>204</v>
      </c>
      <c r="B72" t="s">
        <v>18</v>
      </c>
      <c r="C72" s="24">
        <v>45521</v>
      </c>
      <c r="D72" t="s">
        <v>24</v>
      </c>
      <c r="E72" t="s">
        <v>511</v>
      </c>
      <c r="F72">
        <v>2878</v>
      </c>
      <c r="G72">
        <v>248</v>
      </c>
      <c r="H72">
        <v>416</v>
      </c>
      <c r="I72">
        <v>43170</v>
      </c>
      <c r="J72">
        <v>42667</v>
      </c>
      <c r="K72">
        <v>75</v>
      </c>
      <c r="L72" t="s">
        <v>494</v>
      </c>
      <c r="M72" t="s">
        <v>503</v>
      </c>
      <c r="N72">
        <v>8.2047718322909427E-2</v>
      </c>
    </row>
    <row r="73" spans="1:14" x14ac:dyDescent="0.3">
      <c r="A73" t="s">
        <v>79</v>
      </c>
      <c r="B73" t="s">
        <v>38</v>
      </c>
      <c r="C73" s="24">
        <v>45744</v>
      </c>
      <c r="D73" t="s">
        <v>57</v>
      </c>
      <c r="E73" t="s">
        <v>504</v>
      </c>
      <c r="F73">
        <v>1881</v>
      </c>
      <c r="G73">
        <v>501</v>
      </c>
      <c r="H73">
        <v>99</v>
      </c>
      <c r="I73">
        <v>20691</v>
      </c>
      <c r="J73">
        <v>19987</v>
      </c>
      <c r="K73">
        <v>289</v>
      </c>
      <c r="L73" t="s">
        <v>505</v>
      </c>
      <c r="N73">
        <v>0.11990720603160794</v>
      </c>
    </row>
    <row r="74" spans="1:14" x14ac:dyDescent="0.3">
      <c r="A74" t="s">
        <v>101</v>
      </c>
      <c r="B74" t="s">
        <v>23</v>
      </c>
      <c r="C74" s="24">
        <v>45499</v>
      </c>
      <c r="D74" t="s">
        <v>20</v>
      </c>
      <c r="E74" t="s">
        <v>508</v>
      </c>
      <c r="F74">
        <v>432</v>
      </c>
      <c r="G74">
        <v>171</v>
      </c>
      <c r="H74">
        <v>280</v>
      </c>
      <c r="I74">
        <v>3024</v>
      </c>
      <c r="J74">
        <v>2285</v>
      </c>
      <c r="K74">
        <v>184</v>
      </c>
      <c r="L74" t="s">
        <v>505</v>
      </c>
      <c r="M74" t="s">
        <v>495</v>
      </c>
      <c r="N74">
        <v>0.29199735449735448</v>
      </c>
    </row>
    <row r="75" spans="1:14" x14ac:dyDescent="0.3">
      <c r="A75" t="s">
        <v>65</v>
      </c>
      <c r="B75" t="s">
        <v>18</v>
      </c>
      <c r="C75" s="24">
        <v>45745</v>
      </c>
      <c r="D75" t="s">
        <v>20</v>
      </c>
      <c r="E75" t="s">
        <v>507</v>
      </c>
      <c r="F75">
        <v>4712</v>
      </c>
      <c r="G75">
        <v>568</v>
      </c>
      <c r="H75">
        <v>127</v>
      </c>
      <c r="I75">
        <v>84816</v>
      </c>
      <c r="J75">
        <v>84691</v>
      </c>
      <c r="K75">
        <v>100</v>
      </c>
      <c r="L75" t="s">
        <v>505</v>
      </c>
      <c r="M75" t="s">
        <v>503</v>
      </c>
      <c r="N75">
        <v>6.3749764195434822E-2</v>
      </c>
    </row>
    <row r="76" spans="1:14" x14ac:dyDescent="0.3">
      <c r="A76" t="s">
        <v>287</v>
      </c>
      <c r="B76" t="s">
        <v>38</v>
      </c>
      <c r="C76" s="24">
        <v>45634</v>
      </c>
      <c r="D76" t="s">
        <v>57</v>
      </c>
      <c r="E76" t="s">
        <v>504</v>
      </c>
      <c r="F76">
        <v>2610</v>
      </c>
      <c r="G76">
        <v>126</v>
      </c>
      <c r="H76">
        <v>288</v>
      </c>
      <c r="I76">
        <v>15660</v>
      </c>
      <c r="J76">
        <v>15145</v>
      </c>
      <c r="K76">
        <v>73</v>
      </c>
      <c r="L76" t="s">
        <v>505</v>
      </c>
      <c r="N76">
        <v>0.19310344827586207</v>
      </c>
    </row>
    <row r="77" spans="1:14" x14ac:dyDescent="0.3">
      <c r="A77" t="s">
        <v>293</v>
      </c>
      <c r="B77" t="s">
        <v>23</v>
      </c>
      <c r="C77" s="24">
        <v>45724</v>
      </c>
      <c r="D77" t="s">
        <v>45</v>
      </c>
      <c r="E77" t="s">
        <v>497</v>
      </c>
      <c r="F77">
        <v>1292</v>
      </c>
      <c r="G77">
        <v>626</v>
      </c>
      <c r="H77">
        <v>496</v>
      </c>
      <c r="I77">
        <v>25840</v>
      </c>
      <c r="J77">
        <v>24916</v>
      </c>
      <c r="K77">
        <v>149</v>
      </c>
      <c r="L77" t="s">
        <v>494</v>
      </c>
      <c r="M77" t="s">
        <v>503</v>
      </c>
      <c r="N77">
        <v>9.3421052631578946E-2</v>
      </c>
    </row>
    <row r="78" spans="1:14" x14ac:dyDescent="0.3">
      <c r="A78" t="s">
        <v>369</v>
      </c>
      <c r="B78" t="s">
        <v>18</v>
      </c>
      <c r="C78" s="24">
        <v>45749</v>
      </c>
      <c r="D78" t="s">
        <v>14</v>
      </c>
      <c r="E78" t="s">
        <v>515</v>
      </c>
      <c r="F78">
        <v>199</v>
      </c>
      <c r="G78">
        <v>772</v>
      </c>
      <c r="H78">
        <v>400</v>
      </c>
      <c r="I78">
        <v>3582</v>
      </c>
      <c r="J78">
        <v>2988</v>
      </c>
      <c r="K78">
        <v>43</v>
      </c>
      <c r="L78" t="s">
        <v>498</v>
      </c>
      <c r="N78">
        <v>0.38274706867671693</v>
      </c>
    </row>
    <row r="79" spans="1:14" x14ac:dyDescent="0.3">
      <c r="A79" t="s">
        <v>364</v>
      </c>
      <c r="B79" t="s">
        <v>501</v>
      </c>
      <c r="C79" s="24">
        <v>45537</v>
      </c>
      <c r="D79" t="s">
        <v>20</v>
      </c>
      <c r="E79" t="s">
        <v>513</v>
      </c>
      <c r="F79">
        <v>2551</v>
      </c>
      <c r="G79">
        <v>915</v>
      </c>
      <c r="H79">
        <v>205</v>
      </c>
      <c r="I79">
        <v>30612</v>
      </c>
      <c r="J79">
        <v>30360</v>
      </c>
      <c r="K79">
        <v>227</v>
      </c>
      <c r="L79" t="s">
        <v>498</v>
      </c>
      <c r="M79" t="s">
        <v>499</v>
      </c>
      <c r="N79">
        <v>0.1199202926956749</v>
      </c>
    </row>
    <row r="80" spans="1:14" x14ac:dyDescent="0.3">
      <c r="A80" t="s">
        <v>356</v>
      </c>
      <c r="B80" t="s">
        <v>501</v>
      </c>
      <c r="C80" s="24">
        <v>45719</v>
      </c>
      <c r="D80" t="s">
        <v>53</v>
      </c>
      <c r="E80" t="s">
        <v>502</v>
      </c>
      <c r="F80">
        <v>296</v>
      </c>
      <c r="G80">
        <v>60</v>
      </c>
      <c r="H80">
        <v>141</v>
      </c>
      <c r="I80">
        <v>5624</v>
      </c>
      <c r="J80">
        <v>5239</v>
      </c>
      <c r="K80">
        <v>88</v>
      </c>
      <c r="L80" t="s">
        <v>505</v>
      </c>
      <c r="M80" t="s">
        <v>499</v>
      </c>
      <c r="N80">
        <v>8.837126600284495E-2</v>
      </c>
    </row>
    <row r="81" spans="1:14" x14ac:dyDescent="0.3">
      <c r="A81" t="s">
        <v>190</v>
      </c>
      <c r="B81" t="s">
        <v>18</v>
      </c>
      <c r="C81" s="24">
        <v>45583</v>
      </c>
      <c r="D81" t="s">
        <v>57</v>
      </c>
      <c r="E81" t="s">
        <v>514</v>
      </c>
      <c r="F81">
        <v>4126</v>
      </c>
      <c r="G81">
        <v>426</v>
      </c>
      <c r="H81">
        <v>486</v>
      </c>
      <c r="I81">
        <v>78394</v>
      </c>
      <c r="J81">
        <v>77798</v>
      </c>
      <c r="K81">
        <v>88</v>
      </c>
      <c r="L81" t="s">
        <v>494</v>
      </c>
      <c r="M81" t="s">
        <v>506</v>
      </c>
      <c r="N81">
        <v>6.4265122330790625E-2</v>
      </c>
    </row>
    <row r="82" spans="1:14" x14ac:dyDescent="0.3">
      <c r="A82" t="s">
        <v>71</v>
      </c>
      <c r="B82" t="s">
        <v>501</v>
      </c>
      <c r="C82" s="24">
        <v>45593</v>
      </c>
      <c r="D82" t="s">
        <v>53</v>
      </c>
      <c r="E82" t="s">
        <v>502</v>
      </c>
      <c r="F82">
        <v>1855</v>
      </c>
      <c r="G82">
        <v>200</v>
      </c>
      <c r="H82">
        <v>174</v>
      </c>
      <c r="I82">
        <v>16695</v>
      </c>
      <c r="J82">
        <v>16330</v>
      </c>
      <c r="K82">
        <v>123</v>
      </c>
      <c r="L82" t="s">
        <v>498</v>
      </c>
      <c r="M82" t="s">
        <v>503</v>
      </c>
      <c r="N82">
        <v>0.13351302785265048</v>
      </c>
    </row>
    <row r="83" spans="1:14" x14ac:dyDescent="0.3">
      <c r="A83" t="s">
        <v>374</v>
      </c>
      <c r="B83" t="s">
        <v>38</v>
      </c>
      <c r="C83" s="24">
        <v>45505</v>
      </c>
      <c r="D83" t="s">
        <v>53</v>
      </c>
      <c r="E83" t="s">
        <v>516</v>
      </c>
      <c r="F83">
        <v>1674</v>
      </c>
      <c r="G83">
        <v>929</v>
      </c>
      <c r="H83">
        <v>37</v>
      </c>
      <c r="I83">
        <v>21762</v>
      </c>
      <c r="J83">
        <v>20998</v>
      </c>
      <c r="K83">
        <v>255</v>
      </c>
      <c r="L83" t="s">
        <v>498</v>
      </c>
      <c r="M83" t="s">
        <v>506</v>
      </c>
      <c r="N83">
        <v>0.12131237937689551</v>
      </c>
    </row>
    <row r="84" spans="1:14" x14ac:dyDescent="0.3">
      <c r="A84" t="s">
        <v>297</v>
      </c>
      <c r="B84" t="s">
        <v>23</v>
      </c>
      <c r="C84" s="24">
        <v>45603</v>
      </c>
      <c r="D84" t="s">
        <v>57</v>
      </c>
      <c r="E84" t="s">
        <v>523</v>
      </c>
      <c r="F84">
        <v>1121</v>
      </c>
      <c r="G84">
        <v>135</v>
      </c>
      <c r="H84">
        <v>18</v>
      </c>
      <c r="I84">
        <v>15694</v>
      </c>
      <c r="J84">
        <v>14957</v>
      </c>
      <c r="K84">
        <v>99</v>
      </c>
      <c r="L84" t="s">
        <v>498</v>
      </c>
      <c r="M84" t="s">
        <v>506</v>
      </c>
      <c r="N84">
        <v>8.1177520071364848E-2</v>
      </c>
    </row>
    <row r="85" spans="1:14" x14ac:dyDescent="0.3">
      <c r="A85" t="s">
        <v>339</v>
      </c>
      <c r="B85" t="s">
        <v>18</v>
      </c>
      <c r="C85" s="24">
        <v>45720</v>
      </c>
      <c r="D85" t="s">
        <v>57</v>
      </c>
      <c r="E85" t="s">
        <v>514</v>
      </c>
      <c r="F85">
        <v>1249</v>
      </c>
      <c r="G85">
        <v>116</v>
      </c>
      <c r="H85">
        <v>420</v>
      </c>
      <c r="I85">
        <v>8743</v>
      </c>
      <c r="J85">
        <v>8538</v>
      </c>
      <c r="K85">
        <v>63</v>
      </c>
      <c r="L85" t="s">
        <v>498</v>
      </c>
      <c r="N85">
        <v>0.20416333066453163</v>
      </c>
    </row>
    <row r="86" spans="1:14" x14ac:dyDescent="0.3">
      <c r="A86" t="s">
        <v>205</v>
      </c>
      <c r="B86" t="s">
        <v>23</v>
      </c>
      <c r="C86" s="24">
        <v>45460</v>
      </c>
      <c r="D86" t="s">
        <v>24</v>
      </c>
      <c r="E86" t="s">
        <v>521</v>
      </c>
      <c r="F86">
        <v>954</v>
      </c>
      <c r="G86">
        <v>324</v>
      </c>
      <c r="H86">
        <v>288</v>
      </c>
      <c r="I86">
        <v>19080</v>
      </c>
      <c r="J86">
        <v>18859</v>
      </c>
      <c r="K86">
        <v>21</v>
      </c>
      <c r="L86" t="s">
        <v>494</v>
      </c>
      <c r="M86" t="s">
        <v>506</v>
      </c>
      <c r="N86">
        <v>8.2075471698113203E-2</v>
      </c>
    </row>
    <row r="87" spans="1:14" x14ac:dyDescent="0.3">
      <c r="A87" t="s">
        <v>282</v>
      </c>
      <c r="B87" t="s">
        <v>38</v>
      </c>
      <c r="C87" s="24">
        <v>45574</v>
      </c>
      <c r="D87" t="s">
        <v>20</v>
      </c>
      <c r="E87" t="s">
        <v>518</v>
      </c>
      <c r="F87">
        <v>3068</v>
      </c>
      <c r="G87">
        <v>137</v>
      </c>
      <c r="H87">
        <v>329</v>
      </c>
      <c r="I87">
        <v>39884</v>
      </c>
      <c r="J87">
        <v>39404</v>
      </c>
      <c r="K87">
        <v>266</v>
      </c>
      <c r="L87" t="s">
        <v>505</v>
      </c>
      <c r="M87" t="s">
        <v>499</v>
      </c>
      <c r="N87">
        <v>8.860696018453515E-2</v>
      </c>
    </row>
    <row r="88" spans="1:14" x14ac:dyDescent="0.3">
      <c r="A88" t="s">
        <v>239</v>
      </c>
      <c r="B88" t="s">
        <v>38</v>
      </c>
      <c r="C88" s="24">
        <v>45456</v>
      </c>
      <c r="D88" t="s">
        <v>57</v>
      </c>
      <c r="E88" t="s">
        <v>504</v>
      </c>
      <c r="F88">
        <v>2103</v>
      </c>
      <c r="G88">
        <v>892</v>
      </c>
      <c r="H88">
        <v>103</v>
      </c>
      <c r="I88">
        <v>39957</v>
      </c>
      <c r="J88">
        <v>39466</v>
      </c>
      <c r="K88">
        <v>28</v>
      </c>
      <c r="L88" t="s">
        <v>494</v>
      </c>
      <c r="N88">
        <v>7.7533348349475686E-2</v>
      </c>
    </row>
    <row r="89" spans="1:14" x14ac:dyDescent="0.3">
      <c r="A89" t="s">
        <v>176</v>
      </c>
      <c r="B89" t="s">
        <v>38</v>
      </c>
      <c r="C89" s="24">
        <v>45584</v>
      </c>
      <c r="D89" t="s">
        <v>57</v>
      </c>
      <c r="E89" t="s">
        <v>504</v>
      </c>
      <c r="F89">
        <v>1816</v>
      </c>
      <c r="G89">
        <v>29</v>
      </c>
      <c r="H89">
        <v>41</v>
      </c>
      <c r="I89">
        <v>19976</v>
      </c>
      <c r="J89">
        <v>19262</v>
      </c>
      <c r="K89">
        <v>283</v>
      </c>
      <c r="L89" t="s">
        <v>498</v>
      </c>
      <c r="M89" t="s">
        <v>503</v>
      </c>
      <c r="N89">
        <v>9.4413295955146179E-2</v>
      </c>
    </row>
    <row r="90" spans="1:14" x14ac:dyDescent="0.3">
      <c r="A90" t="s">
        <v>120</v>
      </c>
      <c r="B90" t="s">
        <v>38</v>
      </c>
      <c r="C90" s="24">
        <v>45497</v>
      </c>
      <c r="D90" t="s">
        <v>24</v>
      </c>
      <c r="E90" t="s">
        <v>525</v>
      </c>
      <c r="F90">
        <v>725</v>
      </c>
      <c r="G90">
        <v>88</v>
      </c>
      <c r="H90">
        <v>428</v>
      </c>
      <c r="I90">
        <v>14500</v>
      </c>
      <c r="J90">
        <v>13637</v>
      </c>
      <c r="K90">
        <v>200</v>
      </c>
      <c r="L90" t="s">
        <v>494</v>
      </c>
      <c r="M90" t="s">
        <v>503</v>
      </c>
      <c r="N90">
        <v>8.558620689655172E-2</v>
      </c>
    </row>
    <row r="91" spans="1:14" x14ac:dyDescent="0.3">
      <c r="A91" t="s">
        <v>120</v>
      </c>
      <c r="B91" t="s">
        <v>38</v>
      </c>
      <c r="C91" s="24">
        <v>45497</v>
      </c>
      <c r="D91" t="s">
        <v>24</v>
      </c>
      <c r="E91" t="s">
        <v>525</v>
      </c>
      <c r="F91">
        <v>725</v>
      </c>
      <c r="G91">
        <v>88</v>
      </c>
      <c r="H91">
        <v>428</v>
      </c>
      <c r="I91">
        <v>14500</v>
      </c>
      <c r="J91">
        <v>13637</v>
      </c>
      <c r="K91">
        <v>200</v>
      </c>
      <c r="L91" t="s">
        <v>498</v>
      </c>
      <c r="M91" t="s">
        <v>503</v>
      </c>
      <c r="N91">
        <v>8.558620689655172E-2</v>
      </c>
    </row>
    <row r="92" spans="1:14" x14ac:dyDescent="0.3">
      <c r="A92" t="s">
        <v>120</v>
      </c>
      <c r="B92" t="s">
        <v>38</v>
      </c>
      <c r="C92" s="24">
        <v>45497</v>
      </c>
      <c r="D92" t="s">
        <v>24</v>
      </c>
      <c r="E92" t="s">
        <v>525</v>
      </c>
      <c r="F92">
        <v>725</v>
      </c>
      <c r="G92">
        <v>88</v>
      </c>
      <c r="H92">
        <v>428</v>
      </c>
      <c r="I92">
        <v>14500</v>
      </c>
      <c r="J92">
        <v>13637</v>
      </c>
      <c r="K92">
        <v>200</v>
      </c>
      <c r="L92" t="s">
        <v>496</v>
      </c>
      <c r="M92" t="s">
        <v>503</v>
      </c>
      <c r="N92">
        <v>8.558620689655172E-2</v>
      </c>
    </row>
    <row r="93" spans="1:14" x14ac:dyDescent="0.3">
      <c r="A93" t="s">
        <v>218</v>
      </c>
      <c r="B93" t="s">
        <v>501</v>
      </c>
      <c r="C93" s="24">
        <v>45580</v>
      </c>
      <c r="D93" t="s">
        <v>14</v>
      </c>
      <c r="E93" t="s">
        <v>526</v>
      </c>
      <c r="F93">
        <v>1094</v>
      </c>
      <c r="G93">
        <v>472</v>
      </c>
      <c r="H93">
        <v>21</v>
      </c>
      <c r="I93">
        <v>9846</v>
      </c>
      <c r="J93">
        <v>9609</v>
      </c>
      <c r="K93">
        <v>112</v>
      </c>
      <c r="L93" t="s">
        <v>505</v>
      </c>
      <c r="N93">
        <v>0.16118220597196831</v>
      </c>
    </row>
    <row r="94" spans="1:14" x14ac:dyDescent="0.3">
      <c r="A94" t="s">
        <v>280</v>
      </c>
      <c r="B94" t="s">
        <v>18</v>
      </c>
      <c r="C94" s="24">
        <v>45635</v>
      </c>
      <c r="D94" t="s">
        <v>24</v>
      </c>
      <c r="E94" t="s">
        <v>511</v>
      </c>
      <c r="F94">
        <v>1841</v>
      </c>
      <c r="G94">
        <v>851</v>
      </c>
      <c r="H94">
        <v>342</v>
      </c>
      <c r="I94">
        <v>34979</v>
      </c>
      <c r="J94">
        <v>34154</v>
      </c>
      <c r="K94">
        <v>255</v>
      </c>
      <c r="L94" t="s">
        <v>494</v>
      </c>
      <c r="M94" t="s">
        <v>506</v>
      </c>
      <c r="N94">
        <v>8.6737756939878216E-2</v>
      </c>
    </row>
    <row r="95" spans="1:14" x14ac:dyDescent="0.3">
      <c r="A95" t="s">
        <v>181</v>
      </c>
      <c r="B95" t="s">
        <v>38</v>
      </c>
      <c r="C95" s="24">
        <v>45766</v>
      </c>
      <c r="D95" t="s">
        <v>24</v>
      </c>
      <c r="E95" t="s">
        <v>525</v>
      </c>
      <c r="F95">
        <v>4177</v>
      </c>
      <c r="G95">
        <v>569</v>
      </c>
      <c r="H95">
        <v>55</v>
      </c>
      <c r="I95">
        <v>25062</v>
      </c>
      <c r="J95">
        <v>24847</v>
      </c>
      <c r="K95">
        <v>230</v>
      </c>
      <c r="L95" t="s">
        <v>494</v>
      </c>
      <c r="M95" t="s">
        <v>495</v>
      </c>
      <c r="N95">
        <v>0.19156491900087783</v>
      </c>
    </row>
    <row r="96" spans="1:14" x14ac:dyDescent="0.3">
      <c r="A96" t="s">
        <v>92</v>
      </c>
      <c r="B96" t="s">
        <v>501</v>
      </c>
      <c r="C96" s="24">
        <v>45684</v>
      </c>
      <c r="D96" t="s">
        <v>45</v>
      </c>
      <c r="E96" t="s">
        <v>519</v>
      </c>
      <c r="F96">
        <v>3428</v>
      </c>
      <c r="G96">
        <v>305</v>
      </c>
      <c r="H96">
        <v>85</v>
      </c>
      <c r="I96">
        <v>58276</v>
      </c>
      <c r="J96">
        <v>58052</v>
      </c>
      <c r="K96">
        <v>242</v>
      </c>
      <c r="L96" t="s">
        <v>505</v>
      </c>
      <c r="M96" t="s">
        <v>506</v>
      </c>
      <c r="N96">
        <v>6.5515821264328367E-2</v>
      </c>
    </row>
    <row r="97" spans="1:14" x14ac:dyDescent="0.3">
      <c r="A97" t="s">
        <v>92</v>
      </c>
      <c r="B97" t="s">
        <v>501</v>
      </c>
      <c r="C97" s="24">
        <v>45684</v>
      </c>
      <c r="D97" t="s">
        <v>45</v>
      </c>
      <c r="E97" t="s">
        <v>519</v>
      </c>
      <c r="F97">
        <v>3428</v>
      </c>
      <c r="G97">
        <v>305</v>
      </c>
      <c r="H97">
        <v>85</v>
      </c>
      <c r="I97">
        <v>58276</v>
      </c>
      <c r="J97">
        <v>58052</v>
      </c>
      <c r="K97">
        <v>242</v>
      </c>
      <c r="L97" t="s">
        <v>500</v>
      </c>
      <c r="M97" t="s">
        <v>506</v>
      </c>
      <c r="N97">
        <v>6.5515821264328367E-2</v>
      </c>
    </row>
    <row r="98" spans="1:14" x14ac:dyDescent="0.3">
      <c r="A98" t="s">
        <v>309</v>
      </c>
      <c r="B98" t="s">
        <v>23</v>
      </c>
      <c r="C98" s="24">
        <v>45449</v>
      </c>
      <c r="D98" t="s">
        <v>14</v>
      </c>
      <c r="E98" t="s">
        <v>522</v>
      </c>
      <c r="F98">
        <v>1436</v>
      </c>
      <c r="G98">
        <v>765</v>
      </c>
      <c r="H98">
        <v>496</v>
      </c>
      <c r="I98">
        <v>12924</v>
      </c>
      <c r="J98">
        <v>12701</v>
      </c>
      <c r="K98">
        <v>197</v>
      </c>
      <c r="L98" t="s">
        <v>494</v>
      </c>
      <c r="M98" t="s">
        <v>503</v>
      </c>
      <c r="N98">
        <v>0.20868152274837512</v>
      </c>
    </row>
    <row r="99" spans="1:14" x14ac:dyDescent="0.3">
      <c r="A99" t="s">
        <v>300</v>
      </c>
      <c r="B99" t="s">
        <v>18</v>
      </c>
      <c r="C99" s="24">
        <v>45480</v>
      </c>
      <c r="D99" t="s">
        <v>57</v>
      </c>
      <c r="E99" t="s">
        <v>514</v>
      </c>
      <c r="F99">
        <v>302</v>
      </c>
      <c r="G99">
        <v>47</v>
      </c>
      <c r="H99">
        <v>430</v>
      </c>
      <c r="I99">
        <v>5738</v>
      </c>
      <c r="J99">
        <v>4890</v>
      </c>
      <c r="K99">
        <v>25</v>
      </c>
      <c r="L99" t="s">
        <v>498</v>
      </c>
      <c r="M99" t="s">
        <v>506</v>
      </c>
      <c r="N99">
        <v>0.13576158940397351</v>
      </c>
    </row>
    <row r="100" spans="1:14" x14ac:dyDescent="0.3">
      <c r="A100" t="s">
        <v>277</v>
      </c>
      <c r="B100" t="s">
        <v>23</v>
      </c>
      <c r="C100" s="24">
        <v>45667</v>
      </c>
      <c r="D100" t="s">
        <v>24</v>
      </c>
      <c r="E100" t="s">
        <v>521</v>
      </c>
      <c r="F100">
        <v>2214</v>
      </c>
      <c r="G100">
        <v>249</v>
      </c>
      <c r="H100">
        <v>152</v>
      </c>
      <c r="I100">
        <v>15498</v>
      </c>
      <c r="J100">
        <v>14800</v>
      </c>
      <c r="K100">
        <v>180</v>
      </c>
      <c r="L100" t="s">
        <v>505</v>
      </c>
      <c r="N100">
        <v>0.16873144921925409</v>
      </c>
    </row>
    <row r="101" spans="1:14" x14ac:dyDescent="0.3">
      <c r="A101" t="s">
        <v>350</v>
      </c>
      <c r="B101" t="s">
        <v>38</v>
      </c>
      <c r="C101" s="24">
        <v>45446</v>
      </c>
      <c r="D101" t="s">
        <v>24</v>
      </c>
      <c r="E101" t="s">
        <v>525</v>
      </c>
      <c r="F101">
        <v>3861</v>
      </c>
      <c r="G101">
        <v>960</v>
      </c>
      <c r="H101">
        <v>101</v>
      </c>
      <c r="I101">
        <v>69498</v>
      </c>
      <c r="J101">
        <v>68817</v>
      </c>
      <c r="K101">
        <v>297</v>
      </c>
      <c r="L101" t="s">
        <v>498</v>
      </c>
      <c r="M101" t="s">
        <v>506</v>
      </c>
      <c r="N101">
        <v>7.0822181933293038E-2</v>
      </c>
    </row>
    <row r="102" spans="1:14" x14ac:dyDescent="0.3">
      <c r="A102" t="s">
        <v>129</v>
      </c>
      <c r="B102" t="s">
        <v>18</v>
      </c>
      <c r="C102" s="24">
        <v>45740</v>
      </c>
      <c r="D102" t="s">
        <v>24</v>
      </c>
      <c r="E102" t="s">
        <v>511</v>
      </c>
      <c r="F102">
        <v>1263</v>
      </c>
      <c r="G102">
        <v>397</v>
      </c>
      <c r="H102">
        <v>357</v>
      </c>
      <c r="I102">
        <v>25260</v>
      </c>
      <c r="J102">
        <v>24615</v>
      </c>
      <c r="K102">
        <v>137</v>
      </c>
      <c r="L102" t="s">
        <v>505</v>
      </c>
      <c r="M102" t="s">
        <v>506</v>
      </c>
      <c r="N102">
        <v>7.984956452889945E-2</v>
      </c>
    </row>
    <row r="103" spans="1:14" x14ac:dyDescent="0.3">
      <c r="A103" t="s">
        <v>163</v>
      </c>
      <c r="B103" t="s">
        <v>23</v>
      </c>
      <c r="C103" s="24">
        <v>45586</v>
      </c>
      <c r="D103" t="s">
        <v>57</v>
      </c>
      <c r="E103" t="s">
        <v>523</v>
      </c>
      <c r="F103">
        <v>3801</v>
      </c>
      <c r="G103">
        <v>967</v>
      </c>
      <c r="H103">
        <v>401</v>
      </c>
      <c r="I103">
        <v>38010</v>
      </c>
      <c r="J103">
        <v>37625</v>
      </c>
      <c r="K103">
        <v>236</v>
      </c>
      <c r="L103" t="s">
        <v>494</v>
      </c>
      <c r="M103" t="s">
        <v>503</v>
      </c>
      <c r="N103">
        <v>0.13599052880820836</v>
      </c>
    </row>
    <row r="104" spans="1:14" x14ac:dyDescent="0.3">
      <c r="A104" t="s">
        <v>255</v>
      </c>
      <c r="B104" t="s">
        <v>38</v>
      </c>
      <c r="C104" s="24">
        <v>45637</v>
      </c>
      <c r="D104" t="s">
        <v>14</v>
      </c>
      <c r="E104" t="s">
        <v>517</v>
      </c>
      <c r="F104">
        <v>1431</v>
      </c>
      <c r="G104">
        <v>951</v>
      </c>
      <c r="H104">
        <v>26</v>
      </c>
      <c r="I104">
        <v>8586</v>
      </c>
      <c r="J104">
        <v>8396</v>
      </c>
      <c r="K104">
        <v>150</v>
      </c>
      <c r="L104" t="s">
        <v>505</v>
      </c>
      <c r="M104" t="s">
        <v>503</v>
      </c>
      <c r="N104">
        <v>0.28045655718611695</v>
      </c>
    </row>
    <row r="105" spans="1:14" x14ac:dyDescent="0.3">
      <c r="A105" t="s">
        <v>296</v>
      </c>
      <c r="B105" t="s">
        <v>38</v>
      </c>
      <c r="C105" s="24">
        <v>45603</v>
      </c>
      <c r="D105" t="s">
        <v>24</v>
      </c>
      <c r="E105" t="s">
        <v>525</v>
      </c>
      <c r="F105">
        <v>2647</v>
      </c>
      <c r="G105">
        <v>304</v>
      </c>
      <c r="H105">
        <v>170</v>
      </c>
      <c r="I105">
        <v>18529</v>
      </c>
      <c r="J105">
        <v>17841</v>
      </c>
      <c r="K105">
        <v>46</v>
      </c>
      <c r="L105" t="s">
        <v>494</v>
      </c>
      <c r="M105" t="s">
        <v>503</v>
      </c>
      <c r="N105">
        <v>0.16843866371633656</v>
      </c>
    </row>
    <row r="106" spans="1:14" x14ac:dyDescent="0.3">
      <c r="A106" t="s">
        <v>288</v>
      </c>
      <c r="B106" t="s">
        <v>38</v>
      </c>
      <c r="C106" s="24">
        <v>45604</v>
      </c>
      <c r="D106" t="s">
        <v>45</v>
      </c>
      <c r="E106" t="s">
        <v>520</v>
      </c>
      <c r="F106">
        <v>3182</v>
      </c>
      <c r="G106">
        <v>559</v>
      </c>
      <c r="H106">
        <v>160</v>
      </c>
      <c r="I106">
        <v>57276</v>
      </c>
      <c r="J106">
        <v>56890</v>
      </c>
      <c r="K106">
        <v>163</v>
      </c>
      <c r="L106" t="s">
        <v>494</v>
      </c>
      <c r="M106" t="s">
        <v>506</v>
      </c>
      <c r="N106">
        <v>6.8108806480899509E-2</v>
      </c>
    </row>
    <row r="107" spans="1:14" x14ac:dyDescent="0.3">
      <c r="A107" t="s">
        <v>268</v>
      </c>
      <c r="B107" t="s">
        <v>23</v>
      </c>
      <c r="C107" s="24">
        <v>45545</v>
      </c>
      <c r="D107" t="s">
        <v>24</v>
      </c>
      <c r="E107" t="s">
        <v>521</v>
      </c>
      <c r="F107">
        <v>1238</v>
      </c>
      <c r="G107">
        <v>366</v>
      </c>
      <c r="H107">
        <v>444</v>
      </c>
      <c r="I107">
        <v>19808</v>
      </c>
      <c r="J107">
        <v>19334</v>
      </c>
      <c r="K107">
        <v>123</v>
      </c>
      <c r="L107" t="s">
        <v>494</v>
      </c>
      <c r="N107">
        <v>0.10339256865912763</v>
      </c>
    </row>
    <row r="108" spans="1:14" x14ac:dyDescent="0.3">
      <c r="A108" t="s">
        <v>237</v>
      </c>
      <c r="B108" t="s">
        <v>38</v>
      </c>
      <c r="C108" s="24">
        <v>45517</v>
      </c>
      <c r="D108" t="s">
        <v>24</v>
      </c>
      <c r="E108" t="s">
        <v>525</v>
      </c>
      <c r="F108">
        <v>4739</v>
      </c>
      <c r="G108">
        <v>527</v>
      </c>
      <c r="H108">
        <v>135</v>
      </c>
      <c r="I108">
        <v>61607</v>
      </c>
      <c r="J108">
        <v>61333</v>
      </c>
      <c r="K108">
        <v>36</v>
      </c>
      <c r="L108" t="s">
        <v>498</v>
      </c>
      <c r="M108" t="s">
        <v>499</v>
      </c>
      <c r="N108">
        <v>8.7668609086629767E-2</v>
      </c>
    </row>
    <row r="109" spans="1:14" x14ac:dyDescent="0.3">
      <c r="A109" t="s">
        <v>237</v>
      </c>
      <c r="B109" t="s">
        <v>38</v>
      </c>
      <c r="C109" s="24">
        <v>45517</v>
      </c>
      <c r="D109" t="s">
        <v>24</v>
      </c>
      <c r="E109" t="s">
        <v>525</v>
      </c>
      <c r="F109">
        <v>4739</v>
      </c>
      <c r="G109">
        <v>527</v>
      </c>
      <c r="H109">
        <v>135</v>
      </c>
      <c r="I109">
        <v>61607</v>
      </c>
      <c r="J109">
        <v>61333</v>
      </c>
      <c r="K109">
        <v>36</v>
      </c>
      <c r="L109" t="s">
        <v>496</v>
      </c>
      <c r="M109" t="s">
        <v>499</v>
      </c>
      <c r="N109">
        <v>8.7668609086629767E-2</v>
      </c>
    </row>
    <row r="110" spans="1:14" x14ac:dyDescent="0.3">
      <c r="A110" t="s">
        <v>272</v>
      </c>
      <c r="B110" t="s">
        <v>23</v>
      </c>
      <c r="C110" s="24">
        <v>45453</v>
      </c>
      <c r="D110" t="s">
        <v>57</v>
      </c>
      <c r="E110" t="s">
        <v>523</v>
      </c>
      <c r="F110">
        <v>1575</v>
      </c>
      <c r="G110">
        <v>771</v>
      </c>
      <c r="H110">
        <v>486</v>
      </c>
      <c r="I110">
        <v>25200</v>
      </c>
      <c r="J110">
        <v>24826</v>
      </c>
      <c r="K110">
        <v>17</v>
      </c>
      <c r="L110" t="s">
        <v>494</v>
      </c>
      <c r="M110" t="s">
        <v>506</v>
      </c>
      <c r="N110">
        <v>0.11238095238095239</v>
      </c>
    </row>
    <row r="111" spans="1:14" x14ac:dyDescent="0.3">
      <c r="A111" t="s">
        <v>365</v>
      </c>
      <c r="B111" t="s">
        <v>501</v>
      </c>
      <c r="C111" s="24">
        <v>45475</v>
      </c>
      <c r="D111" t="s">
        <v>20</v>
      </c>
      <c r="E111" t="s">
        <v>513</v>
      </c>
      <c r="F111">
        <v>4171</v>
      </c>
      <c r="G111">
        <v>548</v>
      </c>
      <c r="H111">
        <v>86</v>
      </c>
      <c r="I111">
        <v>66736</v>
      </c>
      <c r="J111">
        <v>66634</v>
      </c>
      <c r="K111">
        <v>173</v>
      </c>
      <c r="L111" t="s">
        <v>494</v>
      </c>
      <c r="M111" t="s">
        <v>503</v>
      </c>
      <c r="N111">
        <v>7.2000119875329657E-2</v>
      </c>
    </row>
    <row r="112" spans="1:14" x14ac:dyDescent="0.3">
      <c r="A112" t="s">
        <v>274</v>
      </c>
      <c r="B112" t="s">
        <v>501</v>
      </c>
      <c r="C112" s="24">
        <v>45698</v>
      </c>
      <c r="D112" t="s">
        <v>14</v>
      </c>
      <c r="E112" t="s">
        <v>526</v>
      </c>
      <c r="F112">
        <v>1766</v>
      </c>
      <c r="G112">
        <v>92</v>
      </c>
      <c r="H112">
        <v>424</v>
      </c>
      <c r="I112">
        <v>24724</v>
      </c>
      <c r="J112">
        <v>24333</v>
      </c>
      <c r="K112">
        <v>52</v>
      </c>
      <c r="L112" t="s">
        <v>505</v>
      </c>
      <c r="N112">
        <v>9.2298980747451867E-2</v>
      </c>
    </row>
    <row r="113" spans="1:14" x14ac:dyDescent="0.3">
      <c r="A113" t="s">
        <v>189</v>
      </c>
      <c r="B113" t="s">
        <v>501</v>
      </c>
      <c r="C113" s="24">
        <v>45583</v>
      </c>
      <c r="D113" t="s">
        <v>14</v>
      </c>
      <c r="E113" t="s">
        <v>526</v>
      </c>
      <c r="F113">
        <v>4450</v>
      </c>
      <c r="G113">
        <v>983</v>
      </c>
      <c r="H113">
        <v>143</v>
      </c>
      <c r="I113">
        <v>75650</v>
      </c>
      <c r="J113">
        <v>75008</v>
      </c>
      <c r="K113">
        <v>12</v>
      </c>
      <c r="L113" t="s">
        <v>494</v>
      </c>
      <c r="M113" t="s">
        <v>503</v>
      </c>
      <c r="N113">
        <v>7.3707865168539333E-2</v>
      </c>
    </row>
    <row r="114" spans="1:14" x14ac:dyDescent="0.3">
      <c r="A114" t="s">
        <v>192</v>
      </c>
      <c r="B114" t="s">
        <v>23</v>
      </c>
      <c r="C114" s="24">
        <v>45553</v>
      </c>
      <c r="D114" t="s">
        <v>53</v>
      </c>
      <c r="E114" t="s">
        <v>493</v>
      </c>
      <c r="F114">
        <v>1000</v>
      </c>
      <c r="G114">
        <v>978</v>
      </c>
      <c r="H114">
        <v>162</v>
      </c>
      <c r="I114">
        <v>6000</v>
      </c>
      <c r="J114">
        <v>5221</v>
      </c>
      <c r="K114">
        <v>223</v>
      </c>
      <c r="L114" t="s">
        <v>505</v>
      </c>
      <c r="M114" t="s">
        <v>499</v>
      </c>
      <c r="N114">
        <v>0.35666666666666669</v>
      </c>
    </row>
    <row r="115" spans="1:14" x14ac:dyDescent="0.3">
      <c r="A115" t="s">
        <v>262</v>
      </c>
      <c r="B115" t="s">
        <v>18</v>
      </c>
      <c r="C115" s="24">
        <v>45454</v>
      </c>
      <c r="D115" t="s">
        <v>24</v>
      </c>
      <c r="E115" t="s">
        <v>511</v>
      </c>
      <c r="F115">
        <v>3689</v>
      </c>
      <c r="G115">
        <v>48</v>
      </c>
      <c r="H115">
        <v>306</v>
      </c>
      <c r="I115">
        <v>40579</v>
      </c>
      <c r="J115">
        <v>39588</v>
      </c>
      <c r="K115">
        <v>212</v>
      </c>
      <c r="L115" t="s">
        <v>505</v>
      </c>
      <c r="M115" t="s">
        <v>499</v>
      </c>
      <c r="N115">
        <v>9.9632815002833983E-2</v>
      </c>
    </row>
    <row r="116" spans="1:14" x14ac:dyDescent="0.3">
      <c r="A116" t="s">
        <v>142</v>
      </c>
      <c r="B116" t="s">
        <v>501</v>
      </c>
      <c r="C116" s="24">
        <v>45739</v>
      </c>
      <c r="D116" t="s">
        <v>57</v>
      </c>
      <c r="E116" t="s">
        <v>524</v>
      </c>
      <c r="F116">
        <v>3655</v>
      </c>
      <c r="G116">
        <v>568</v>
      </c>
      <c r="H116">
        <v>286</v>
      </c>
      <c r="I116">
        <v>32895</v>
      </c>
      <c r="J116">
        <v>32015</v>
      </c>
      <c r="K116">
        <v>199</v>
      </c>
      <c r="L116" t="s">
        <v>498</v>
      </c>
      <c r="M116" t="s">
        <v>503</v>
      </c>
      <c r="N116">
        <v>0.13707250341997265</v>
      </c>
    </row>
    <row r="117" spans="1:14" x14ac:dyDescent="0.3">
      <c r="A117" t="s">
        <v>233</v>
      </c>
      <c r="B117" t="s">
        <v>38</v>
      </c>
      <c r="C117" s="24">
        <v>45457</v>
      </c>
      <c r="D117" t="s">
        <v>20</v>
      </c>
      <c r="E117" t="s">
        <v>518</v>
      </c>
      <c r="F117">
        <v>498</v>
      </c>
      <c r="G117">
        <v>38</v>
      </c>
      <c r="H117">
        <v>42</v>
      </c>
      <c r="I117">
        <v>4482</v>
      </c>
      <c r="J117">
        <v>3647</v>
      </c>
      <c r="K117">
        <v>32</v>
      </c>
      <c r="L117" t="s">
        <v>494</v>
      </c>
      <c r="M117" t="s">
        <v>495</v>
      </c>
      <c r="N117">
        <v>0.12896028558679162</v>
      </c>
    </row>
    <row r="118" spans="1:14" x14ac:dyDescent="0.3">
      <c r="A118" t="s">
        <v>340</v>
      </c>
      <c r="B118" t="s">
        <v>38</v>
      </c>
      <c r="C118" s="24">
        <v>45692</v>
      </c>
      <c r="D118" t="s">
        <v>24</v>
      </c>
      <c r="E118" t="s">
        <v>525</v>
      </c>
      <c r="F118">
        <v>4619</v>
      </c>
      <c r="G118">
        <v>821</v>
      </c>
      <c r="H118">
        <v>499</v>
      </c>
      <c r="I118">
        <v>69285</v>
      </c>
      <c r="J118">
        <v>69141</v>
      </c>
      <c r="K118">
        <v>298</v>
      </c>
      <c r="L118" t="s">
        <v>498</v>
      </c>
      <c r="M118" t="s">
        <v>506</v>
      </c>
      <c r="N118">
        <v>8.5718409468138843E-2</v>
      </c>
    </row>
    <row r="119" spans="1:14" x14ac:dyDescent="0.3">
      <c r="A119" t="s">
        <v>168</v>
      </c>
      <c r="B119" t="s">
        <v>501</v>
      </c>
      <c r="C119" s="24">
        <v>45464</v>
      </c>
      <c r="D119" t="s">
        <v>24</v>
      </c>
      <c r="E119" t="s">
        <v>509</v>
      </c>
      <c r="F119">
        <v>4832</v>
      </c>
      <c r="G119">
        <v>893</v>
      </c>
      <c r="H119">
        <v>10</v>
      </c>
      <c r="I119">
        <v>91808</v>
      </c>
      <c r="J119">
        <v>91296</v>
      </c>
      <c r="K119">
        <v>182</v>
      </c>
      <c r="L119" t="s">
        <v>498</v>
      </c>
      <c r="N119">
        <v>6.2467323109097243E-2</v>
      </c>
    </row>
    <row r="120" spans="1:14" x14ac:dyDescent="0.3">
      <c r="A120" t="s">
        <v>111</v>
      </c>
      <c r="B120" t="s">
        <v>23</v>
      </c>
      <c r="C120" s="24">
        <v>45741</v>
      </c>
      <c r="D120" t="s">
        <v>14</v>
      </c>
      <c r="E120" t="s">
        <v>522</v>
      </c>
      <c r="F120">
        <v>4050</v>
      </c>
      <c r="G120">
        <v>871</v>
      </c>
      <c r="H120">
        <v>347</v>
      </c>
      <c r="I120">
        <v>52650</v>
      </c>
      <c r="J120">
        <v>51755</v>
      </c>
      <c r="K120">
        <v>209</v>
      </c>
      <c r="L120" t="s">
        <v>498</v>
      </c>
      <c r="M120" t="s">
        <v>499</v>
      </c>
      <c r="N120">
        <v>0.10005698005698006</v>
      </c>
    </row>
    <row r="121" spans="1:14" x14ac:dyDescent="0.3">
      <c r="A121" t="s">
        <v>291</v>
      </c>
      <c r="B121" t="s">
        <v>23</v>
      </c>
      <c r="C121" s="24">
        <v>45512</v>
      </c>
      <c r="D121" t="s">
        <v>57</v>
      </c>
      <c r="E121" t="s">
        <v>523</v>
      </c>
      <c r="F121">
        <v>3649</v>
      </c>
      <c r="G121">
        <v>215</v>
      </c>
      <c r="H121">
        <v>413</v>
      </c>
      <c r="I121">
        <v>25543</v>
      </c>
      <c r="J121">
        <v>24963</v>
      </c>
      <c r="K121">
        <v>167</v>
      </c>
      <c r="L121" t="s">
        <v>494</v>
      </c>
      <c r="M121" t="s">
        <v>503</v>
      </c>
      <c r="N121">
        <v>0.16744313510550835</v>
      </c>
    </row>
    <row r="122" spans="1:14" x14ac:dyDescent="0.3">
      <c r="A122" t="s">
        <v>59</v>
      </c>
      <c r="B122" t="s">
        <v>38</v>
      </c>
      <c r="C122" s="24">
        <v>45502</v>
      </c>
      <c r="D122" t="s">
        <v>53</v>
      </c>
      <c r="E122" t="s">
        <v>516</v>
      </c>
      <c r="F122">
        <v>3523</v>
      </c>
      <c r="G122">
        <v>753</v>
      </c>
      <c r="H122">
        <v>482</v>
      </c>
      <c r="I122">
        <v>38753</v>
      </c>
      <c r="J122">
        <v>38579</v>
      </c>
      <c r="K122">
        <v>270</v>
      </c>
      <c r="L122" t="s">
        <v>505</v>
      </c>
      <c r="M122" t="s">
        <v>499</v>
      </c>
      <c r="N122">
        <v>0.12277759141227776</v>
      </c>
    </row>
    <row r="123" spans="1:14" x14ac:dyDescent="0.3">
      <c r="A123" t="s">
        <v>137</v>
      </c>
      <c r="B123" t="s">
        <v>501</v>
      </c>
      <c r="C123" s="24">
        <v>45619</v>
      </c>
      <c r="D123" t="s">
        <v>24</v>
      </c>
      <c r="E123" t="s">
        <v>509</v>
      </c>
      <c r="F123">
        <v>2719</v>
      </c>
      <c r="G123">
        <v>17</v>
      </c>
      <c r="H123">
        <v>285</v>
      </c>
      <c r="I123">
        <v>40785</v>
      </c>
      <c r="J123">
        <v>40281</v>
      </c>
      <c r="K123">
        <v>40</v>
      </c>
      <c r="L123" t="s">
        <v>498</v>
      </c>
      <c r="M123" t="s">
        <v>499</v>
      </c>
      <c r="N123">
        <v>7.4071349760941527E-2</v>
      </c>
    </row>
    <row r="124" spans="1:14" x14ac:dyDescent="0.3">
      <c r="A124" t="s">
        <v>322</v>
      </c>
      <c r="B124" t="s">
        <v>23</v>
      </c>
      <c r="C124" s="24">
        <v>45570</v>
      </c>
      <c r="D124" t="s">
        <v>57</v>
      </c>
      <c r="E124" t="s">
        <v>523</v>
      </c>
      <c r="F124">
        <v>1957</v>
      </c>
      <c r="G124">
        <v>877</v>
      </c>
      <c r="H124">
        <v>238</v>
      </c>
      <c r="I124">
        <v>17613</v>
      </c>
      <c r="J124">
        <v>16865</v>
      </c>
      <c r="K124">
        <v>297</v>
      </c>
      <c r="L124" t="s">
        <v>494</v>
      </c>
      <c r="M124" t="s">
        <v>503</v>
      </c>
      <c r="N124">
        <v>0.17441662408448305</v>
      </c>
    </row>
    <row r="125" spans="1:14" x14ac:dyDescent="0.3">
      <c r="A125" t="s">
        <v>360</v>
      </c>
      <c r="B125" t="s">
        <v>23</v>
      </c>
      <c r="C125" s="24">
        <v>45567</v>
      </c>
      <c r="D125" t="s">
        <v>20</v>
      </c>
      <c r="E125" t="s">
        <v>508</v>
      </c>
      <c r="F125">
        <v>4419</v>
      </c>
      <c r="G125">
        <v>236</v>
      </c>
      <c r="H125">
        <v>369</v>
      </c>
      <c r="I125">
        <v>44190</v>
      </c>
      <c r="J125">
        <v>43582</v>
      </c>
      <c r="K125">
        <v>10</v>
      </c>
      <c r="L125" t="s">
        <v>505</v>
      </c>
      <c r="M125" t="s">
        <v>495</v>
      </c>
      <c r="N125">
        <v>0.11369088028965829</v>
      </c>
    </row>
    <row r="126" spans="1:14" x14ac:dyDescent="0.3">
      <c r="A126" t="s">
        <v>230</v>
      </c>
      <c r="B126" t="s">
        <v>23</v>
      </c>
      <c r="C126" s="24">
        <v>45610</v>
      </c>
      <c r="D126" t="s">
        <v>57</v>
      </c>
      <c r="E126" t="s">
        <v>523</v>
      </c>
      <c r="F126">
        <v>4000</v>
      </c>
      <c r="G126">
        <v>689</v>
      </c>
      <c r="H126">
        <v>488</v>
      </c>
      <c r="I126">
        <v>40000</v>
      </c>
      <c r="J126">
        <v>39569</v>
      </c>
      <c r="K126">
        <v>44</v>
      </c>
      <c r="L126" t="s">
        <v>494</v>
      </c>
      <c r="M126" t="s">
        <v>495</v>
      </c>
      <c r="N126">
        <v>0.12942500000000001</v>
      </c>
    </row>
    <row r="127" spans="1:14" x14ac:dyDescent="0.3">
      <c r="A127" t="s">
        <v>263</v>
      </c>
      <c r="B127" t="s">
        <v>23</v>
      </c>
      <c r="C127" s="24">
        <v>45788</v>
      </c>
      <c r="D127" t="s">
        <v>24</v>
      </c>
      <c r="E127" t="s">
        <v>521</v>
      </c>
      <c r="F127">
        <v>2493</v>
      </c>
      <c r="G127">
        <v>97</v>
      </c>
      <c r="H127">
        <v>44</v>
      </c>
      <c r="I127">
        <v>42381</v>
      </c>
      <c r="J127">
        <v>41991</v>
      </c>
      <c r="K127">
        <v>242</v>
      </c>
      <c r="L127" t="s">
        <v>498</v>
      </c>
      <c r="M127" t="s">
        <v>506</v>
      </c>
      <c r="N127">
        <v>6.2150491965739366E-2</v>
      </c>
    </row>
    <row r="128" spans="1:14" x14ac:dyDescent="0.3">
      <c r="A128" t="s">
        <v>263</v>
      </c>
      <c r="B128" t="s">
        <v>23</v>
      </c>
      <c r="C128" s="24">
        <v>45788</v>
      </c>
      <c r="D128" t="s">
        <v>24</v>
      </c>
      <c r="E128" t="s">
        <v>521</v>
      </c>
      <c r="F128">
        <v>2493</v>
      </c>
      <c r="G128">
        <v>97</v>
      </c>
      <c r="H128">
        <v>44</v>
      </c>
      <c r="I128">
        <v>42381</v>
      </c>
      <c r="J128">
        <v>41991</v>
      </c>
      <c r="K128">
        <v>242</v>
      </c>
      <c r="L128" t="s">
        <v>496</v>
      </c>
      <c r="M128" t="s">
        <v>506</v>
      </c>
      <c r="N128">
        <v>6.2150491965739366E-2</v>
      </c>
    </row>
    <row r="129" spans="1:14" x14ac:dyDescent="0.3">
      <c r="A129" t="s">
        <v>196</v>
      </c>
      <c r="B129" t="s">
        <v>501</v>
      </c>
      <c r="C129" s="24">
        <v>45734</v>
      </c>
      <c r="D129" t="s">
        <v>53</v>
      </c>
      <c r="E129" t="s">
        <v>502</v>
      </c>
      <c r="F129">
        <v>3704</v>
      </c>
      <c r="G129">
        <v>186</v>
      </c>
      <c r="H129">
        <v>458</v>
      </c>
      <c r="I129">
        <v>25928</v>
      </c>
      <c r="J129">
        <v>25081</v>
      </c>
      <c r="K129">
        <v>131</v>
      </c>
      <c r="L129" t="s">
        <v>498</v>
      </c>
      <c r="N129">
        <v>0.16769515581610614</v>
      </c>
    </row>
    <row r="130" spans="1:14" x14ac:dyDescent="0.3">
      <c r="A130" t="s">
        <v>334</v>
      </c>
      <c r="B130" t="s">
        <v>23</v>
      </c>
      <c r="C130" s="24">
        <v>45600</v>
      </c>
      <c r="D130" t="s">
        <v>24</v>
      </c>
      <c r="E130" t="s">
        <v>521</v>
      </c>
      <c r="F130">
        <v>1606</v>
      </c>
      <c r="G130">
        <v>451</v>
      </c>
      <c r="H130">
        <v>405</v>
      </c>
      <c r="I130">
        <v>20878</v>
      </c>
      <c r="J130">
        <v>20190</v>
      </c>
      <c r="K130">
        <v>219</v>
      </c>
      <c r="L130" t="s">
        <v>505</v>
      </c>
      <c r="M130" t="s">
        <v>506</v>
      </c>
      <c r="N130">
        <v>0.11792317271769326</v>
      </c>
    </row>
    <row r="131" spans="1:14" x14ac:dyDescent="0.3">
      <c r="A131" t="s">
        <v>332</v>
      </c>
      <c r="B131" t="s">
        <v>18</v>
      </c>
      <c r="C131" s="24">
        <v>45600</v>
      </c>
      <c r="D131" t="s">
        <v>24</v>
      </c>
      <c r="E131" t="s">
        <v>511</v>
      </c>
      <c r="F131">
        <v>4551</v>
      </c>
      <c r="G131">
        <v>714</v>
      </c>
      <c r="H131">
        <v>207</v>
      </c>
      <c r="I131">
        <v>68265</v>
      </c>
      <c r="J131">
        <v>67754</v>
      </c>
      <c r="K131">
        <v>57</v>
      </c>
      <c r="L131" t="s">
        <v>494</v>
      </c>
      <c r="M131" t="s">
        <v>503</v>
      </c>
      <c r="N131">
        <v>8.0158206987475278E-2</v>
      </c>
    </row>
    <row r="132" spans="1:14" x14ac:dyDescent="0.3">
      <c r="A132" t="s">
        <v>306</v>
      </c>
      <c r="B132" t="s">
        <v>38</v>
      </c>
      <c r="C132" s="24">
        <v>45695</v>
      </c>
      <c r="D132" t="s">
        <v>53</v>
      </c>
      <c r="E132" t="s">
        <v>516</v>
      </c>
      <c r="F132">
        <v>1970</v>
      </c>
      <c r="G132">
        <v>675</v>
      </c>
      <c r="H132">
        <v>478</v>
      </c>
      <c r="I132">
        <v>9850</v>
      </c>
      <c r="J132">
        <v>8924</v>
      </c>
      <c r="K132">
        <v>117</v>
      </c>
      <c r="L132" t="s">
        <v>494</v>
      </c>
      <c r="N132">
        <v>0.31705583756345179</v>
      </c>
    </row>
    <row r="133" spans="1:14" x14ac:dyDescent="0.3">
      <c r="A133" t="s">
        <v>162</v>
      </c>
      <c r="B133" t="s">
        <v>18</v>
      </c>
      <c r="C133" s="24">
        <v>45586</v>
      </c>
      <c r="D133" t="s">
        <v>57</v>
      </c>
      <c r="E133" t="s">
        <v>514</v>
      </c>
      <c r="F133">
        <v>780</v>
      </c>
      <c r="G133">
        <v>928</v>
      </c>
      <c r="H133">
        <v>301</v>
      </c>
      <c r="I133">
        <v>8580</v>
      </c>
      <c r="J133">
        <v>8081</v>
      </c>
      <c r="K133">
        <v>91</v>
      </c>
      <c r="L133" t="s">
        <v>505</v>
      </c>
      <c r="M133" t="s">
        <v>503</v>
      </c>
      <c r="N133">
        <v>0.23414918414918415</v>
      </c>
    </row>
    <row r="134" spans="1:14" x14ac:dyDescent="0.3">
      <c r="A134" t="s">
        <v>61</v>
      </c>
      <c r="B134" t="s">
        <v>38</v>
      </c>
      <c r="C134" s="24">
        <v>45502</v>
      </c>
      <c r="D134" t="s">
        <v>57</v>
      </c>
      <c r="E134" t="s">
        <v>504</v>
      </c>
      <c r="F134">
        <v>498</v>
      </c>
      <c r="G134">
        <v>701</v>
      </c>
      <c r="H134">
        <v>412</v>
      </c>
      <c r="I134">
        <v>4980</v>
      </c>
      <c r="J134">
        <v>4185</v>
      </c>
      <c r="K134">
        <v>185</v>
      </c>
      <c r="L134" t="s">
        <v>494</v>
      </c>
      <c r="N134">
        <v>0.32349397590361445</v>
      </c>
    </row>
    <row r="135" spans="1:14" x14ac:dyDescent="0.3">
      <c r="A135" t="s">
        <v>358</v>
      </c>
      <c r="B135" t="s">
        <v>38</v>
      </c>
      <c r="C135" s="24">
        <v>45567</v>
      </c>
      <c r="D135" t="s">
        <v>45</v>
      </c>
      <c r="E135" t="s">
        <v>520</v>
      </c>
      <c r="F135">
        <v>3432</v>
      </c>
      <c r="G135">
        <v>869</v>
      </c>
      <c r="H135">
        <v>123</v>
      </c>
      <c r="I135">
        <v>54912</v>
      </c>
      <c r="J135">
        <v>53916</v>
      </c>
      <c r="K135">
        <v>264</v>
      </c>
      <c r="L135" t="s">
        <v>505</v>
      </c>
      <c r="M135" t="s">
        <v>499</v>
      </c>
      <c r="N135">
        <v>8.0565268065268064E-2</v>
      </c>
    </row>
    <row r="136" spans="1:14" x14ac:dyDescent="0.3">
      <c r="A136" t="s">
        <v>234</v>
      </c>
      <c r="B136" t="s">
        <v>38</v>
      </c>
      <c r="C136" s="24">
        <v>45457</v>
      </c>
      <c r="D136" t="s">
        <v>57</v>
      </c>
      <c r="E136" t="s">
        <v>504</v>
      </c>
      <c r="F136">
        <v>4363</v>
      </c>
      <c r="G136">
        <v>649</v>
      </c>
      <c r="H136">
        <v>140</v>
      </c>
      <c r="I136">
        <v>21815</v>
      </c>
      <c r="J136">
        <v>21481</v>
      </c>
      <c r="K136">
        <v>157</v>
      </c>
      <c r="L136" t="s">
        <v>505</v>
      </c>
      <c r="M136" t="s">
        <v>495</v>
      </c>
      <c r="N136">
        <v>0.23616777446710979</v>
      </c>
    </row>
    <row r="137" spans="1:14" x14ac:dyDescent="0.3">
      <c r="A137" t="s">
        <v>315</v>
      </c>
      <c r="B137" t="s">
        <v>501</v>
      </c>
      <c r="C137" s="24">
        <v>45753</v>
      </c>
      <c r="D137" t="s">
        <v>20</v>
      </c>
      <c r="E137" t="s">
        <v>513</v>
      </c>
      <c r="F137">
        <v>736</v>
      </c>
      <c r="G137">
        <v>771</v>
      </c>
      <c r="H137">
        <v>225</v>
      </c>
      <c r="I137">
        <v>5152</v>
      </c>
      <c r="J137">
        <v>4706</v>
      </c>
      <c r="K137">
        <v>19</v>
      </c>
      <c r="L137" t="s">
        <v>505</v>
      </c>
      <c r="M137" t="s">
        <v>495</v>
      </c>
      <c r="N137">
        <v>0.33618012422360249</v>
      </c>
    </row>
    <row r="138" spans="1:14" x14ac:dyDescent="0.3">
      <c r="A138" t="s">
        <v>290</v>
      </c>
      <c r="B138" t="s">
        <v>23</v>
      </c>
      <c r="C138" s="24">
        <v>45543</v>
      </c>
      <c r="D138" t="s">
        <v>20</v>
      </c>
      <c r="E138" t="s">
        <v>508</v>
      </c>
      <c r="F138">
        <v>3811</v>
      </c>
      <c r="G138">
        <v>866</v>
      </c>
      <c r="H138">
        <v>216</v>
      </c>
      <c r="I138">
        <v>34299</v>
      </c>
      <c r="J138">
        <v>34088</v>
      </c>
      <c r="K138">
        <v>233</v>
      </c>
      <c r="L138" t="s">
        <v>498</v>
      </c>
      <c r="M138" t="s">
        <v>506</v>
      </c>
      <c r="N138">
        <v>0.14265722032712325</v>
      </c>
    </row>
    <row r="139" spans="1:14" x14ac:dyDescent="0.3">
      <c r="A139" t="s">
        <v>80</v>
      </c>
      <c r="B139" t="s">
        <v>38</v>
      </c>
      <c r="C139" s="24">
        <v>45744</v>
      </c>
      <c r="D139" t="s">
        <v>20</v>
      </c>
      <c r="E139" t="s">
        <v>518</v>
      </c>
      <c r="F139">
        <v>4158</v>
      </c>
      <c r="G139">
        <v>167</v>
      </c>
      <c r="H139">
        <v>241</v>
      </c>
      <c r="I139">
        <v>45738</v>
      </c>
      <c r="J139">
        <v>45183</v>
      </c>
      <c r="K139">
        <v>142</v>
      </c>
      <c r="L139" t="s">
        <v>494</v>
      </c>
      <c r="N139">
        <v>9.9829463465827106E-2</v>
      </c>
    </row>
    <row r="140" spans="1:14" x14ac:dyDescent="0.3">
      <c r="A140" t="s">
        <v>94</v>
      </c>
      <c r="B140" t="s">
        <v>18</v>
      </c>
      <c r="C140" s="24">
        <v>45684</v>
      </c>
      <c r="D140" t="s">
        <v>53</v>
      </c>
      <c r="E140" t="s">
        <v>512</v>
      </c>
      <c r="F140">
        <v>3452</v>
      </c>
      <c r="G140">
        <v>652</v>
      </c>
      <c r="H140">
        <v>442</v>
      </c>
      <c r="I140">
        <v>65588</v>
      </c>
      <c r="J140">
        <v>65049</v>
      </c>
      <c r="K140">
        <v>158</v>
      </c>
      <c r="L140" t="s">
        <v>494</v>
      </c>
      <c r="M140" t="s">
        <v>503</v>
      </c>
      <c r="N140">
        <v>6.9311459413307311E-2</v>
      </c>
    </row>
    <row r="141" spans="1:14" x14ac:dyDescent="0.3">
      <c r="A141" t="s">
        <v>279</v>
      </c>
      <c r="B141" t="s">
        <v>23</v>
      </c>
      <c r="C141" s="24">
        <v>45667</v>
      </c>
      <c r="D141" t="s">
        <v>24</v>
      </c>
      <c r="E141" t="s">
        <v>521</v>
      </c>
      <c r="F141">
        <v>3092</v>
      </c>
      <c r="G141">
        <v>106</v>
      </c>
      <c r="H141">
        <v>291</v>
      </c>
      <c r="I141">
        <v>27828</v>
      </c>
      <c r="J141">
        <v>27217</v>
      </c>
      <c r="K141">
        <v>102</v>
      </c>
      <c r="L141" t="s">
        <v>494</v>
      </c>
      <c r="N141">
        <v>0.12537731780940059</v>
      </c>
    </row>
    <row r="142" spans="1:14" x14ac:dyDescent="0.3">
      <c r="A142" t="s">
        <v>167</v>
      </c>
      <c r="B142" t="s">
        <v>23</v>
      </c>
      <c r="C142" s="24">
        <v>45494</v>
      </c>
      <c r="D142" t="s">
        <v>45</v>
      </c>
      <c r="E142" t="s">
        <v>497</v>
      </c>
      <c r="F142">
        <v>2147</v>
      </c>
      <c r="G142">
        <v>430</v>
      </c>
      <c r="H142">
        <v>393</v>
      </c>
      <c r="I142">
        <v>17176</v>
      </c>
      <c r="J142">
        <v>16483</v>
      </c>
      <c r="K142">
        <v>170</v>
      </c>
      <c r="L142" t="s">
        <v>498</v>
      </c>
      <c r="N142">
        <v>0.17291569632044715</v>
      </c>
    </row>
    <row r="143" spans="1:14" x14ac:dyDescent="0.3">
      <c r="A143" t="s">
        <v>52</v>
      </c>
      <c r="B143" t="s">
        <v>501</v>
      </c>
      <c r="C143" s="24">
        <v>45564</v>
      </c>
      <c r="D143" t="s">
        <v>53</v>
      </c>
      <c r="E143" t="s">
        <v>502</v>
      </c>
      <c r="F143">
        <v>2936</v>
      </c>
      <c r="G143">
        <v>439</v>
      </c>
      <c r="H143">
        <v>44</v>
      </c>
      <c r="I143">
        <v>38168</v>
      </c>
      <c r="J143">
        <v>37571</v>
      </c>
      <c r="K143">
        <v>22</v>
      </c>
      <c r="L143" t="s">
        <v>505</v>
      </c>
      <c r="M143" t="s">
        <v>506</v>
      </c>
      <c r="N143">
        <v>8.9577656675749323E-2</v>
      </c>
    </row>
    <row r="144" spans="1:14" x14ac:dyDescent="0.3">
      <c r="A144" t="s">
        <v>164</v>
      </c>
      <c r="B144" t="s">
        <v>38</v>
      </c>
      <c r="C144" s="24">
        <v>45586</v>
      </c>
      <c r="D144" t="s">
        <v>53</v>
      </c>
      <c r="E144" t="s">
        <v>516</v>
      </c>
      <c r="F144">
        <v>4840</v>
      </c>
      <c r="G144">
        <v>658</v>
      </c>
      <c r="H144">
        <v>211</v>
      </c>
      <c r="I144">
        <v>43560</v>
      </c>
      <c r="J144">
        <v>43225</v>
      </c>
      <c r="K144">
        <v>57</v>
      </c>
      <c r="L144" t="s">
        <v>494</v>
      </c>
      <c r="M144" t="s">
        <v>503</v>
      </c>
      <c r="N144">
        <v>0.13106060606060607</v>
      </c>
    </row>
    <row r="145" spans="1:14" x14ac:dyDescent="0.3">
      <c r="A145" t="s">
        <v>337</v>
      </c>
      <c r="B145" t="s">
        <v>38</v>
      </c>
      <c r="C145" s="24">
        <v>45720</v>
      </c>
      <c r="D145" t="s">
        <v>57</v>
      </c>
      <c r="E145" t="s">
        <v>504</v>
      </c>
      <c r="F145">
        <v>1947</v>
      </c>
      <c r="G145">
        <v>842</v>
      </c>
      <c r="H145">
        <v>101</v>
      </c>
      <c r="I145">
        <v>21417</v>
      </c>
      <c r="J145">
        <v>20967</v>
      </c>
      <c r="K145">
        <v>186</v>
      </c>
      <c r="L145" t="s">
        <v>494</v>
      </c>
      <c r="M145" t="s">
        <v>499</v>
      </c>
      <c r="N145">
        <v>0.13493953401503478</v>
      </c>
    </row>
    <row r="146" spans="1:14" x14ac:dyDescent="0.3">
      <c r="A146" t="s">
        <v>317</v>
      </c>
      <c r="B146" t="s">
        <v>18</v>
      </c>
      <c r="C146" s="24">
        <v>45694</v>
      </c>
      <c r="D146" t="s">
        <v>24</v>
      </c>
      <c r="E146" t="s">
        <v>511</v>
      </c>
      <c r="F146">
        <v>2072</v>
      </c>
      <c r="G146">
        <v>532</v>
      </c>
      <c r="H146">
        <v>71</v>
      </c>
      <c r="I146">
        <v>37296</v>
      </c>
      <c r="J146">
        <v>36467</v>
      </c>
      <c r="K146">
        <v>25</v>
      </c>
      <c r="L146" t="s">
        <v>498</v>
      </c>
      <c r="M146" t="s">
        <v>506</v>
      </c>
      <c r="N146">
        <v>7.172350922350923E-2</v>
      </c>
    </row>
    <row r="147" spans="1:14" x14ac:dyDescent="0.3">
      <c r="A147" t="s">
        <v>125</v>
      </c>
      <c r="B147" t="s">
        <v>23</v>
      </c>
      <c r="C147" s="24">
        <v>45771</v>
      </c>
      <c r="D147" t="s">
        <v>53</v>
      </c>
      <c r="E147" t="s">
        <v>493</v>
      </c>
      <c r="F147">
        <v>3731</v>
      </c>
      <c r="G147">
        <v>115</v>
      </c>
      <c r="H147">
        <v>135</v>
      </c>
      <c r="I147">
        <v>55965</v>
      </c>
      <c r="J147">
        <v>55436</v>
      </c>
      <c r="K147">
        <v>103</v>
      </c>
      <c r="L147" t="s">
        <v>498</v>
      </c>
      <c r="M147" t="s">
        <v>495</v>
      </c>
      <c r="N147">
        <v>7.1133744304476013E-2</v>
      </c>
    </row>
    <row r="148" spans="1:14" x14ac:dyDescent="0.3">
      <c r="A148" t="s">
        <v>67</v>
      </c>
      <c r="B148" t="s">
        <v>18</v>
      </c>
      <c r="C148" s="24">
        <v>45624</v>
      </c>
      <c r="D148" t="s">
        <v>45</v>
      </c>
      <c r="E148" t="s">
        <v>510</v>
      </c>
      <c r="F148">
        <v>4213</v>
      </c>
      <c r="G148">
        <v>253</v>
      </c>
      <c r="H148">
        <v>434</v>
      </c>
      <c r="I148">
        <v>75834</v>
      </c>
      <c r="J148">
        <v>75437</v>
      </c>
      <c r="K148">
        <v>272</v>
      </c>
      <c r="L148" t="s">
        <v>494</v>
      </c>
      <c r="M148" t="s">
        <v>506</v>
      </c>
      <c r="N148">
        <v>6.461481657304112E-2</v>
      </c>
    </row>
    <row r="149" spans="1:14" x14ac:dyDescent="0.3">
      <c r="A149" t="s">
        <v>260</v>
      </c>
      <c r="B149" t="s">
        <v>38</v>
      </c>
      <c r="C149" s="24">
        <v>45484</v>
      </c>
      <c r="D149" t="s">
        <v>45</v>
      </c>
      <c r="E149" t="s">
        <v>520</v>
      </c>
      <c r="F149">
        <v>3134</v>
      </c>
      <c r="G149">
        <v>888</v>
      </c>
      <c r="H149">
        <v>444</v>
      </c>
      <c r="I149">
        <v>21938</v>
      </c>
      <c r="J149">
        <v>21337</v>
      </c>
      <c r="K149">
        <v>130</v>
      </c>
      <c r="L149" t="s">
        <v>505</v>
      </c>
      <c r="M149" t="s">
        <v>506</v>
      </c>
      <c r="N149">
        <v>0.20357370772176134</v>
      </c>
    </row>
    <row r="150" spans="1:14" x14ac:dyDescent="0.3">
      <c r="A150" t="s">
        <v>35</v>
      </c>
      <c r="B150" t="s">
        <v>18</v>
      </c>
      <c r="C150" s="24">
        <v>45504</v>
      </c>
      <c r="D150" t="s">
        <v>14</v>
      </c>
      <c r="E150" t="s">
        <v>515</v>
      </c>
      <c r="F150">
        <v>3008</v>
      </c>
      <c r="G150">
        <v>94</v>
      </c>
      <c r="H150">
        <v>37</v>
      </c>
      <c r="I150">
        <v>15040</v>
      </c>
      <c r="J150">
        <v>14639</v>
      </c>
      <c r="K150">
        <v>277</v>
      </c>
      <c r="L150" t="s">
        <v>494</v>
      </c>
      <c r="N150">
        <v>0.20871010638297871</v>
      </c>
    </row>
    <row r="151" spans="1:14" x14ac:dyDescent="0.3">
      <c r="A151" t="s">
        <v>66</v>
      </c>
      <c r="B151" t="s">
        <v>23</v>
      </c>
      <c r="C151" s="24">
        <v>45745</v>
      </c>
      <c r="D151" t="s">
        <v>24</v>
      </c>
      <c r="E151" t="s">
        <v>521</v>
      </c>
      <c r="F151">
        <v>305</v>
      </c>
      <c r="G151">
        <v>187</v>
      </c>
      <c r="H151">
        <v>243</v>
      </c>
      <c r="I151">
        <v>4575</v>
      </c>
      <c r="J151">
        <v>3704</v>
      </c>
      <c r="K151">
        <v>234</v>
      </c>
      <c r="L151" t="s">
        <v>494</v>
      </c>
      <c r="M151" t="s">
        <v>503</v>
      </c>
      <c r="N151">
        <v>0.16065573770491803</v>
      </c>
    </row>
    <row r="152" spans="1:14" x14ac:dyDescent="0.3">
      <c r="A152" t="s">
        <v>50</v>
      </c>
      <c r="B152" t="s">
        <v>501</v>
      </c>
      <c r="C152" s="24">
        <v>45594</v>
      </c>
      <c r="D152" t="s">
        <v>45</v>
      </c>
      <c r="E152" t="s">
        <v>519</v>
      </c>
      <c r="F152">
        <v>2746</v>
      </c>
      <c r="G152">
        <v>156</v>
      </c>
      <c r="H152">
        <v>203</v>
      </c>
      <c r="I152">
        <v>32952</v>
      </c>
      <c r="J152">
        <v>32147</v>
      </c>
      <c r="K152">
        <v>147</v>
      </c>
      <c r="L152" t="s">
        <v>505</v>
      </c>
      <c r="M152" t="s">
        <v>495</v>
      </c>
      <c r="N152">
        <v>9.422796795338674E-2</v>
      </c>
    </row>
    <row r="153" spans="1:14" x14ac:dyDescent="0.3">
      <c r="A153" t="s">
        <v>223</v>
      </c>
      <c r="B153" t="s">
        <v>18</v>
      </c>
      <c r="C153" s="24">
        <v>45488</v>
      </c>
      <c r="D153" t="s">
        <v>24</v>
      </c>
      <c r="E153" t="s">
        <v>511</v>
      </c>
      <c r="F153">
        <v>2291</v>
      </c>
      <c r="G153">
        <v>78</v>
      </c>
      <c r="H153">
        <v>485</v>
      </c>
      <c r="I153">
        <v>18328</v>
      </c>
      <c r="J153">
        <v>18101</v>
      </c>
      <c r="K153">
        <v>10</v>
      </c>
      <c r="L153" t="s">
        <v>505</v>
      </c>
      <c r="M153" t="s">
        <v>499</v>
      </c>
      <c r="N153">
        <v>0.15571802706241816</v>
      </c>
    </row>
    <row r="154" spans="1:14" x14ac:dyDescent="0.3">
      <c r="A154" t="s">
        <v>223</v>
      </c>
      <c r="B154" t="s">
        <v>18</v>
      </c>
      <c r="C154" s="24">
        <v>45488</v>
      </c>
      <c r="D154" t="s">
        <v>24</v>
      </c>
      <c r="E154" t="s">
        <v>511</v>
      </c>
      <c r="F154">
        <v>2291</v>
      </c>
      <c r="G154">
        <v>78</v>
      </c>
      <c r="H154">
        <v>485</v>
      </c>
      <c r="I154">
        <v>18328</v>
      </c>
      <c r="J154">
        <v>18101</v>
      </c>
      <c r="K154">
        <v>10</v>
      </c>
      <c r="L154" t="s">
        <v>527</v>
      </c>
      <c r="M154" t="s">
        <v>499</v>
      </c>
      <c r="N154">
        <v>0.15571802706241816</v>
      </c>
    </row>
    <row r="155" spans="1:14" x14ac:dyDescent="0.3">
      <c r="A155" t="s">
        <v>22</v>
      </c>
      <c r="B155" t="s">
        <v>23</v>
      </c>
      <c r="C155" s="24">
        <v>45535</v>
      </c>
      <c r="D155" t="s">
        <v>24</v>
      </c>
      <c r="E155" t="s">
        <v>521</v>
      </c>
      <c r="F155">
        <v>3170</v>
      </c>
      <c r="G155">
        <v>857</v>
      </c>
      <c r="H155">
        <v>379</v>
      </c>
      <c r="I155">
        <v>19020</v>
      </c>
      <c r="J155">
        <v>18559</v>
      </c>
      <c r="K155">
        <v>240</v>
      </c>
      <c r="L155" t="s">
        <v>494</v>
      </c>
      <c r="N155">
        <v>0.2316508937960042</v>
      </c>
    </row>
    <row r="156" spans="1:14" x14ac:dyDescent="0.3">
      <c r="A156" t="s">
        <v>113</v>
      </c>
      <c r="B156" t="s">
        <v>501</v>
      </c>
      <c r="C156" s="24">
        <v>45741</v>
      </c>
      <c r="D156" t="s">
        <v>57</v>
      </c>
      <c r="E156" t="s">
        <v>524</v>
      </c>
      <c r="F156">
        <v>2070</v>
      </c>
      <c r="G156">
        <v>275</v>
      </c>
      <c r="H156">
        <v>386</v>
      </c>
      <c r="I156">
        <v>39330</v>
      </c>
      <c r="J156">
        <v>38627</v>
      </c>
      <c r="K156">
        <v>114</v>
      </c>
      <c r="L156" t="s">
        <v>494</v>
      </c>
      <c r="M156" t="s">
        <v>506</v>
      </c>
      <c r="N156">
        <v>6.9438087973557078E-2</v>
      </c>
    </row>
    <row r="157" spans="1:14" x14ac:dyDescent="0.3">
      <c r="A157" t="s">
        <v>359</v>
      </c>
      <c r="B157" t="s">
        <v>501</v>
      </c>
      <c r="C157" s="24">
        <v>45567</v>
      </c>
      <c r="D157" t="s">
        <v>20</v>
      </c>
      <c r="E157" t="s">
        <v>513</v>
      </c>
      <c r="F157">
        <v>80</v>
      </c>
      <c r="G157">
        <v>362</v>
      </c>
      <c r="H157">
        <v>80</v>
      </c>
      <c r="I157">
        <v>1040</v>
      </c>
      <c r="J157">
        <v>349</v>
      </c>
      <c r="K157">
        <v>117</v>
      </c>
      <c r="L157" t="s">
        <v>498</v>
      </c>
      <c r="M157" t="s">
        <v>503</v>
      </c>
      <c r="N157">
        <v>0.50192307692307692</v>
      </c>
    </row>
    <row r="158" spans="1:14" x14ac:dyDescent="0.3">
      <c r="A158" t="s">
        <v>73</v>
      </c>
      <c r="B158" t="s">
        <v>501</v>
      </c>
      <c r="C158" s="24">
        <v>45593</v>
      </c>
      <c r="D158" t="s">
        <v>57</v>
      </c>
      <c r="E158" t="s">
        <v>524</v>
      </c>
      <c r="F158">
        <v>4929</v>
      </c>
      <c r="G158">
        <v>749</v>
      </c>
      <c r="H158">
        <v>452</v>
      </c>
      <c r="I158">
        <v>93651</v>
      </c>
      <c r="J158">
        <v>92810</v>
      </c>
      <c r="K158">
        <v>66</v>
      </c>
      <c r="L158" t="s">
        <v>505</v>
      </c>
      <c r="M158" t="s">
        <v>506</v>
      </c>
      <c r="N158">
        <v>6.5455787978772245E-2</v>
      </c>
    </row>
    <row r="159" spans="1:14" x14ac:dyDescent="0.3">
      <c r="A159" t="s">
        <v>249</v>
      </c>
      <c r="B159" t="s">
        <v>38</v>
      </c>
      <c r="C159" s="24">
        <v>45516</v>
      </c>
      <c r="D159" t="s">
        <v>20</v>
      </c>
      <c r="E159" t="s">
        <v>518</v>
      </c>
      <c r="F159">
        <v>1878</v>
      </c>
      <c r="G159">
        <v>62</v>
      </c>
      <c r="H159">
        <v>179</v>
      </c>
      <c r="I159">
        <v>37560</v>
      </c>
      <c r="J159">
        <v>36874</v>
      </c>
      <c r="K159">
        <v>142</v>
      </c>
      <c r="L159" t="s">
        <v>498</v>
      </c>
      <c r="M159" t="s">
        <v>506</v>
      </c>
      <c r="N159">
        <v>5.6416400425985093E-2</v>
      </c>
    </row>
    <row r="160" spans="1:14" x14ac:dyDescent="0.3">
      <c r="A160" t="s">
        <v>327</v>
      </c>
      <c r="B160" t="s">
        <v>501</v>
      </c>
      <c r="C160" s="24">
        <v>45448</v>
      </c>
      <c r="D160" t="s">
        <v>53</v>
      </c>
      <c r="E160" t="s">
        <v>502</v>
      </c>
      <c r="F160">
        <v>3065</v>
      </c>
      <c r="G160">
        <v>772</v>
      </c>
      <c r="H160">
        <v>142</v>
      </c>
      <c r="I160">
        <v>18390</v>
      </c>
      <c r="J160">
        <v>17875</v>
      </c>
      <c r="K160">
        <v>200</v>
      </c>
      <c r="L160" t="s">
        <v>505</v>
      </c>
      <c r="N160">
        <v>0.21636759108210984</v>
      </c>
    </row>
    <row r="161" spans="1:14" x14ac:dyDescent="0.3">
      <c r="A161" t="s">
        <v>327</v>
      </c>
      <c r="B161" t="s">
        <v>501</v>
      </c>
      <c r="C161" s="24">
        <v>45448</v>
      </c>
      <c r="D161" t="s">
        <v>53</v>
      </c>
      <c r="E161" t="s">
        <v>502</v>
      </c>
      <c r="F161">
        <v>3065</v>
      </c>
      <c r="G161">
        <v>772</v>
      </c>
      <c r="H161">
        <v>142</v>
      </c>
      <c r="I161">
        <v>18390</v>
      </c>
      <c r="J161">
        <v>17875</v>
      </c>
      <c r="K161">
        <v>200</v>
      </c>
      <c r="L161" t="s">
        <v>496</v>
      </c>
      <c r="N161">
        <v>0.21636759108210984</v>
      </c>
    </row>
    <row r="162" spans="1:14" x14ac:dyDescent="0.3">
      <c r="A162" t="s">
        <v>161</v>
      </c>
      <c r="B162" t="s">
        <v>38</v>
      </c>
      <c r="C162" s="24">
        <v>45586</v>
      </c>
      <c r="D162" t="s">
        <v>53</v>
      </c>
      <c r="E162" t="s">
        <v>516</v>
      </c>
      <c r="F162">
        <v>3256</v>
      </c>
      <c r="G162">
        <v>459</v>
      </c>
      <c r="H162">
        <v>266</v>
      </c>
      <c r="I162">
        <v>26048</v>
      </c>
      <c r="J162">
        <v>25529</v>
      </c>
      <c r="K162">
        <v>143</v>
      </c>
      <c r="L162" t="s">
        <v>498</v>
      </c>
      <c r="M162" t="s">
        <v>499</v>
      </c>
      <c r="N162">
        <v>0.15283323095823095</v>
      </c>
    </row>
    <row r="163" spans="1:14" x14ac:dyDescent="0.3">
      <c r="A163" t="s">
        <v>226</v>
      </c>
      <c r="B163" t="s">
        <v>38</v>
      </c>
      <c r="C163" s="24">
        <v>45762</v>
      </c>
      <c r="D163" t="s">
        <v>14</v>
      </c>
      <c r="E163" t="s">
        <v>517</v>
      </c>
      <c r="F163">
        <v>4133</v>
      </c>
      <c r="G163">
        <v>466</v>
      </c>
      <c r="H163">
        <v>327</v>
      </c>
      <c r="I163">
        <v>24798</v>
      </c>
      <c r="J163">
        <v>24620</v>
      </c>
      <c r="K163">
        <v>176</v>
      </c>
      <c r="L163" t="s">
        <v>505</v>
      </c>
      <c r="M163" t="s">
        <v>506</v>
      </c>
      <c r="N163">
        <v>0.19864505202032423</v>
      </c>
    </row>
    <row r="164" spans="1:14" x14ac:dyDescent="0.3">
      <c r="A164" t="s">
        <v>215</v>
      </c>
      <c r="B164" t="s">
        <v>23</v>
      </c>
      <c r="C164" s="24">
        <v>45459</v>
      </c>
      <c r="D164" t="s">
        <v>14</v>
      </c>
      <c r="E164" t="s">
        <v>522</v>
      </c>
      <c r="F164">
        <v>1702</v>
      </c>
      <c r="G164">
        <v>750</v>
      </c>
      <c r="H164">
        <v>179</v>
      </c>
      <c r="I164">
        <v>34040</v>
      </c>
      <c r="J164">
        <v>33174</v>
      </c>
      <c r="K164">
        <v>76</v>
      </c>
      <c r="L164" t="s">
        <v>505</v>
      </c>
      <c r="M164" t="s">
        <v>495</v>
      </c>
      <c r="N164">
        <v>7.7291421856639245E-2</v>
      </c>
    </row>
    <row r="165" spans="1:14" x14ac:dyDescent="0.3">
      <c r="A165" t="s">
        <v>150</v>
      </c>
      <c r="B165" t="s">
        <v>501</v>
      </c>
      <c r="C165" s="24">
        <v>45526</v>
      </c>
      <c r="D165" t="s">
        <v>20</v>
      </c>
      <c r="E165" t="s">
        <v>513</v>
      </c>
      <c r="F165">
        <v>4295</v>
      </c>
      <c r="G165">
        <v>853</v>
      </c>
      <c r="H165">
        <v>325</v>
      </c>
      <c r="I165">
        <v>85900</v>
      </c>
      <c r="J165">
        <v>85788</v>
      </c>
      <c r="K165">
        <v>290</v>
      </c>
      <c r="L165" t="s">
        <v>498</v>
      </c>
      <c r="M165" t="s">
        <v>506</v>
      </c>
      <c r="N165">
        <v>6.3713620488940623E-2</v>
      </c>
    </row>
    <row r="166" spans="1:14" x14ac:dyDescent="0.3">
      <c r="A166" t="s">
        <v>100</v>
      </c>
      <c r="B166" t="s">
        <v>38</v>
      </c>
      <c r="C166" s="24">
        <v>45499</v>
      </c>
      <c r="D166" t="s">
        <v>24</v>
      </c>
      <c r="E166" t="s">
        <v>525</v>
      </c>
      <c r="F166">
        <v>3559</v>
      </c>
      <c r="G166">
        <v>59</v>
      </c>
      <c r="H166">
        <v>289</v>
      </c>
      <c r="I166">
        <v>35590</v>
      </c>
      <c r="J166">
        <v>35105</v>
      </c>
      <c r="K166">
        <v>122</v>
      </c>
      <c r="L166" t="s">
        <v>505</v>
      </c>
      <c r="M166" t="s">
        <v>495</v>
      </c>
      <c r="N166">
        <v>0.10977802753582468</v>
      </c>
    </row>
    <row r="167" spans="1:14" x14ac:dyDescent="0.3">
      <c r="A167" t="s">
        <v>154</v>
      </c>
      <c r="B167" t="s">
        <v>18</v>
      </c>
      <c r="C167" s="24">
        <v>45769</v>
      </c>
      <c r="D167" t="s">
        <v>24</v>
      </c>
      <c r="E167" t="s">
        <v>511</v>
      </c>
      <c r="F167">
        <v>4804</v>
      </c>
      <c r="G167">
        <v>550</v>
      </c>
      <c r="H167">
        <v>270</v>
      </c>
      <c r="I167">
        <v>28824</v>
      </c>
      <c r="J167">
        <v>28370</v>
      </c>
      <c r="K167">
        <v>47</v>
      </c>
      <c r="L167" t="s">
        <v>505</v>
      </c>
      <c r="M167" t="s">
        <v>506</v>
      </c>
      <c r="N167">
        <v>0.19511518179295032</v>
      </c>
    </row>
    <row r="168" spans="1:14" x14ac:dyDescent="0.3">
      <c r="A168" t="s">
        <v>381</v>
      </c>
      <c r="B168" t="s">
        <v>23</v>
      </c>
      <c r="C168" s="24">
        <v>45658</v>
      </c>
      <c r="D168" t="s">
        <v>14</v>
      </c>
      <c r="E168" t="s">
        <v>522</v>
      </c>
      <c r="F168">
        <v>754</v>
      </c>
      <c r="G168">
        <v>197</v>
      </c>
      <c r="H168">
        <v>257</v>
      </c>
      <c r="I168">
        <v>6786</v>
      </c>
      <c r="J168">
        <v>6221</v>
      </c>
      <c r="K168">
        <v>212</v>
      </c>
      <c r="L168" t="s">
        <v>498</v>
      </c>
      <c r="M168" t="s">
        <v>503</v>
      </c>
      <c r="N168">
        <v>0.17801355732390214</v>
      </c>
    </row>
    <row r="169" spans="1:14" x14ac:dyDescent="0.3">
      <c r="A169" t="s">
        <v>283</v>
      </c>
      <c r="B169" t="s">
        <v>38</v>
      </c>
      <c r="C169" s="24">
        <v>45574</v>
      </c>
      <c r="D169" t="s">
        <v>20</v>
      </c>
      <c r="E169" t="s">
        <v>518</v>
      </c>
      <c r="F169">
        <v>985</v>
      </c>
      <c r="G169">
        <v>932</v>
      </c>
      <c r="H169">
        <v>287</v>
      </c>
      <c r="I169">
        <v>6895</v>
      </c>
      <c r="J169">
        <v>6757</v>
      </c>
      <c r="K169">
        <v>64</v>
      </c>
      <c r="L169" t="s">
        <v>494</v>
      </c>
      <c r="M169" t="s">
        <v>506</v>
      </c>
      <c r="N169">
        <v>0.31965192168237855</v>
      </c>
    </row>
    <row r="170" spans="1:14" x14ac:dyDescent="0.3">
      <c r="A170" t="s">
        <v>156</v>
      </c>
      <c r="B170" t="s">
        <v>501</v>
      </c>
      <c r="C170" s="24">
        <v>45647</v>
      </c>
      <c r="D170" t="s">
        <v>24</v>
      </c>
      <c r="E170" t="s">
        <v>509</v>
      </c>
      <c r="F170">
        <v>2283</v>
      </c>
      <c r="G170">
        <v>210</v>
      </c>
      <c r="H170">
        <v>130</v>
      </c>
      <c r="I170">
        <v>22830</v>
      </c>
      <c r="J170">
        <v>22617</v>
      </c>
      <c r="K170">
        <v>143</v>
      </c>
      <c r="L170" t="s">
        <v>494</v>
      </c>
      <c r="M170" t="s">
        <v>499</v>
      </c>
      <c r="N170">
        <v>0.11489268506351293</v>
      </c>
    </row>
    <row r="171" spans="1:14" x14ac:dyDescent="0.3">
      <c r="A171" t="s">
        <v>147</v>
      </c>
      <c r="B171" t="s">
        <v>18</v>
      </c>
      <c r="C171" s="24">
        <v>45587</v>
      </c>
      <c r="D171" t="s">
        <v>20</v>
      </c>
      <c r="E171" t="s">
        <v>507</v>
      </c>
      <c r="F171">
        <v>3352</v>
      </c>
      <c r="G171">
        <v>941</v>
      </c>
      <c r="H171">
        <v>482</v>
      </c>
      <c r="I171">
        <v>43576</v>
      </c>
      <c r="J171">
        <v>43338</v>
      </c>
      <c r="K171">
        <v>240</v>
      </c>
      <c r="L171" t="s">
        <v>494</v>
      </c>
      <c r="M171" t="s">
        <v>499</v>
      </c>
      <c r="N171">
        <v>0.1095786671562328</v>
      </c>
    </row>
    <row r="172" spans="1:14" x14ac:dyDescent="0.3">
      <c r="A172" t="s">
        <v>139</v>
      </c>
      <c r="B172" t="s">
        <v>501</v>
      </c>
      <c r="C172" s="24">
        <v>45496</v>
      </c>
      <c r="D172" t="s">
        <v>57</v>
      </c>
      <c r="E172" t="s">
        <v>524</v>
      </c>
      <c r="F172">
        <v>4775</v>
      </c>
      <c r="G172">
        <v>173</v>
      </c>
      <c r="H172">
        <v>206</v>
      </c>
      <c r="I172">
        <v>47750</v>
      </c>
      <c r="J172">
        <v>47544</v>
      </c>
      <c r="K172">
        <v>187</v>
      </c>
      <c r="L172" t="s">
        <v>494</v>
      </c>
      <c r="M172" t="s">
        <v>499</v>
      </c>
      <c r="N172">
        <v>0.10793717277486911</v>
      </c>
    </row>
    <row r="173" spans="1:14" x14ac:dyDescent="0.3">
      <c r="A173" t="s">
        <v>259</v>
      </c>
      <c r="B173" t="s">
        <v>38</v>
      </c>
      <c r="C173" s="24">
        <v>45515</v>
      </c>
      <c r="D173" t="s">
        <v>57</v>
      </c>
      <c r="E173" t="s">
        <v>504</v>
      </c>
      <c r="F173">
        <v>1762</v>
      </c>
      <c r="G173">
        <v>405</v>
      </c>
      <c r="H173">
        <v>423</v>
      </c>
      <c r="I173">
        <v>22906</v>
      </c>
      <c r="J173">
        <v>21925</v>
      </c>
      <c r="K173">
        <v>25</v>
      </c>
      <c r="L173" t="s">
        <v>498</v>
      </c>
      <c r="M173" t="s">
        <v>495</v>
      </c>
      <c r="N173">
        <v>0.11307081114118571</v>
      </c>
    </row>
    <row r="174" spans="1:14" x14ac:dyDescent="0.3">
      <c r="A174" t="s">
        <v>104</v>
      </c>
      <c r="B174" t="s">
        <v>18</v>
      </c>
      <c r="C174" s="24">
        <v>45621</v>
      </c>
      <c r="D174" t="s">
        <v>57</v>
      </c>
      <c r="E174" t="s">
        <v>514</v>
      </c>
      <c r="F174">
        <v>2120</v>
      </c>
      <c r="G174">
        <v>158</v>
      </c>
      <c r="H174">
        <v>488</v>
      </c>
      <c r="I174">
        <v>12720</v>
      </c>
      <c r="J174">
        <v>12085</v>
      </c>
      <c r="K174">
        <v>17</v>
      </c>
      <c r="L174" t="s">
        <v>494</v>
      </c>
      <c r="M174" t="s">
        <v>499</v>
      </c>
      <c r="N174">
        <v>0.21745283018867925</v>
      </c>
    </row>
    <row r="175" spans="1:14" x14ac:dyDescent="0.3">
      <c r="A175" t="s">
        <v>119</v>
      </c>
      <c r="B175" t="s">
        <v>23</v>
      </c>
      <c r="C175" s="24">
        <v>45528</v>
      </c>
      <c r="D175" t="s">
        <v>14</v>
      </c>
      <c r="E175" t="s">
        <v>522</v>
      </c>
      <c r="F175">
        <v>1082</v>
      </c>
      <c r="G175">
        <v>209</v>
      </c>
      <c r="H175">
        <v>484</v>
      </c>
      <c r="I175">
        <v>19476</v>
      </c>
      <c r="J175">
        <v>18654</v>
      </c>
      <c r="K175">
        <v>20</v>
      </c>
      <c r="L175" t="s">
        <v>498</v>
      </c>
      <c r="N175">
        <v>9.1137810638734856E-2</v>
      </c>
    </row>
    <row r="176" spans="1:14" x14ac:dyDescent="0.3">
      <c r="A176" t="s">
        <v>184</v>
      </c>
      <c r="B176" t="s">
        <v>23</v>
      </c>
      <c r="C176" s="24">
        <v>45707</v>
      </c>
      <c r="D176" t="s">
        <v>45</v>
      </c>
      <c r="E176" t="s">
        <v>497</v>
      </c>
      <c r="F176">
        <v>4671</v>
      </c>
      <c r="G176">
        <v>876</v>
      </c>
      <c r="H176">
        <v>366</v>
      </c>
      <c r="I176">
        <v>51381</v>
      </c>
      <c r="J176">
        <v>50565</v>
      </c>
      <c r="K176">
        <v>245</v>
      </c>
      <c r="L176" t="s">
        <v>498</v>
      </c>
      <c r="M176" t="s">
        <v>506</v>
      </c>
      <c r="N176">
        <v>0.11508145034156594</v>
      </c>
    </row>
    <row r="177" spans="1:14" x14ac:dyDescent="0.3">
      <c r="A177" t="s">
        <v>380</v>
      </c>
      <c r="B177" t="s">
        <v>18</v>
      </c>
      <c r="C177" s="24">
        <v>45748</v>
      </c>
      <c r="D177" t="s">
        <v>57</v>
      </c>
      <c r="E177" t="s">
        <v>514</v>
      </c>
      <c r="F177">
        <v>3430</v>
      </c>
      <c r="G177">
        <v>566</v>
      </c>
      <c r="H177">
        <v>164</v>
      </c>
      <c r="I177">
        <v>48020</v>
      </c>
      <c r="J177">
        <v>47305</v>
      </c>
      <c r="K177">
        <v>120</v>
      </c>
      <c r="L177" t="s">
        <v>494</v>
      </c>
      <c r="N177">
        <v>8.6630570595585168E-2</v>
      </c>
    </row>
    <row r="178" spans="1:14" x14ac:dyDescent="0.3">
      <c r="A178" t="s">
        <v>292</v>
      </c>
      <c r="B178" t="s">
        <v>38</v>
      </c>
      <c r="C178" s="24">
        <v>45755</v>
      </c>
      <c r="D178" t="s">
        <v>24</v>
      </c>
      <c r="E178" t="s">
        <v>525</v>
      </c>
      <c r="F178">
        <v>4501</v>
      </c>
      <c r="G178">
        <v>375</v>
      </c>
      <c r="H178">
        <v>323</v>
      </c>
      <c r="I178">
        <v>22505</v>
      </c>
      <c r="J178">
        <v>21836</v>
      </c>
      <c r="K178">
        <v>132</v>
      </c>
      <c r="L178" t="s">
        <v>498</v>
      </c>
      <c r="M178" t="s">
        <v>499</v>
      </c>
      <c r="N178">
        <v>0.23101532992668297</v>
      </c>
    </row>
    <row r="179" spans="1:14" x14ac:dyDescent="0.3">
      <c r="A179" t="s">
        <v>90</v>
      </c>
      <c r="B179" t="s">
        <v>501</v>
      </c>
      <c r="C179" s="24">
        <v>45715</v>
      </c>
      <c r="D179" t="s">
        <v>45</v>
      </c>
      <c r="E179" t="s">
        <v>519</v>
      </c>
      <c r="F179">
        <v>4934</v>
      </c>
      <c r="G179">
        <v>971</v>
      </c>
      <c r="H179">
        <v>156</v>
      </c>
      <c r="I179">
        <v>39472</v>
      </c>
      <c r="J179">
        <v>39025</v>
      </c>
      <c r="K179">
        <v>169</v>
      </c>
      <c r="L179" t="s">
        <v>498</v>
      </c>
      <c r="M179" t="s">
        <v>506</v>
      </c>
      <c r="N179">
        <v>0.15355188488042157</v>
      </c>
    </row>
    <row r="180" spans="1:14" x14ac:dyDescent="0.3">
      <c r="A180" t="s">
        <v>90</v>
      </c>
      <c r="B180" t="s">
        <v>501</v>
      </c>
      <c r="C180" s="24">
        <v>45715</v>
      </c>
      <c r="D180" t="s">
        <v>45</v>
      </c>
      <c r="E180" t="s">
        <v>519</v>
      </c>
      <c r="F180">
        <v>4934</v>
      </c>
      <c r="G180">
        <v>971</v>
      </c>
      <c r="H180">
        <v>156</v>
      </c>
      <c r="I180">
        <v>39472</v>
      </c>
      <c r="J180">
        <v>39025</v>
      </c>
      <c r="K180">
        <v>169</v>
      </c>
      <c r="L180" t="s">
        <v>496</v>
      </c>
      <c r="M180" t="s">
        <v>506</v>
      </c>
      <c r="N180">
        <v>0.15355188488042157</v>
      </c>
    </row>
    <row r="181" spans="1:14" x14ac:dyDescent="0.3">
      <c r="A181" t="s">
        <v>256</v>
      </c>
      <c r="B181" t="s">
        <v>23</v>
      </c>
      <c r="C181" s="24">
        <v>45637</v>
      </c>
      <c r="D181" t="s">
        <v>45</v>
      </c>
      <c r="E181" t="s">
        <v>497</v>
      </c>
      <c r="F181">
        <v>3239</v>
      </c>
      <c r="G181">
        <v>43</v>
      </c>
      <c r="H181">
        <v>211</v>
      </c>
      <c r="I181">
        <v>22673</v>
      </c>
      <c r="J181">
        <v>22171</v>
      </c>
      <c r="K181">
        <v>230</v>
      </c>
      <c r="L181" t="s">
        <v>498</v>
      </c>
      <c r="M181" t="s">
        <v>499</v>
      </c>
      <c r="N181">
        <v>0.15405989502933004</v>
      </c>
    </row>
    <row r="182" spans="1:14" x14ac:dyDescent="0.3">
      <c r="A182" t="s">
        <v>217</v>
      </c>
      <c r="B182" t="s">
        <v>23</v>
      </c>
      <c r="C182" s="24">
        <v>45704</v>
      </c>
      <c r="D182" t="s">
        <v>53</v>
      </c>
      <c r="E182" t="s">
        <v>493</v>
      </c>
      <c r="F182">
        <v>1076</v>
      </c>
      <c r="G182">
        <v>313</v>
      </c>
      <c r="H182">
        <v>306</v>
      </c>
      <c r="I182">
        <v>11836</v>
      </c>
      <c r="J182">
        <v>11596</v>
      </c>
      <c r="K182">
        <v>104</v>
      </c>
      <c r="L182" t="s">
        <v>494</v>
      </c>
      <c r="M182" t="s">
        <v>495</v>
      </c>
      <c r="N182">
        <v>0.14320716458262928</v>
      </c>
    </row>
    <row r="183" spans="1:14" x14ac:dyDescent="0.3">
      <c r="A183" t="s">
        <v>69</v>
      </c>
      <c r="B183" t="s">
        <v>38</v>
      </c>
      <c r="C183" s="24">
        <v>45624</v>
      </c>
      <c r="D183" t="s">
        <v>45</v>
      </c>
      <c r="E183" t="s">
        <v>520</v>
      </c>
      <c r="F183">
        <v>4771</v>
      </c>
      <c r="G183">
        <v>818</v>
      </c>
      <c r="H183">
        <v>56</v>
      </c>
      <c r="I183">
        <v>57252</v>
      </c>
      <c r="J183">
        <v>56378</v>
      </c>
      <c r="K183">
        <v>150</v>
      </c>
      <c r="L183" t="s">
        <v>494</v>
      </c>
      <c r="N183">
        <v>9.859917557465242E-2</v>
      </c>
    </row>
    <row r="184" spans="1:14" x14ac:dyDescent="0.3">
      <c r="A184" t="s">
        <v>245</v>
      </c>
      <c r="B184" t="s">
        <v>18</v>
      </c>
      <c r="C184" s="24">
        <v>45608</v>
      </c>
      <c r="D184" t="s">
        <v>45</v>
      </c>
      <c r="E184" t="s">
        <v>510</v>
      </c>
      <c r="F184">
        <v>2418</v>
      </c>
      <c r="G184">
        <v>754</v>
      </c>
      <c r="H184">
        <v>54</v>
      </c>
      <c r="I184">
        <v>43524</v>
      </c>
      <c r="J184">
        <v>42743</v>
      </c>
      <c r="K184">
        <v>182</v>
      </c>
      <c r="L184" t="s">
        <v>505</v>
      </c>
      <c r="M184" t="s">
        <v>495</v>
      </c>
      <c r="N184">
        <v>7.412002573292896E-2</v>
      </c>
    </row>
    <row r="185" spans="1:14" x14ac:dyDescent="0.3">
      <c r="A185" t="s">
        <v>342</v>
      </c>
      <c r="B185" t="s">
        <v>501</v>
      </c>
      <c r="C185" s="24">
        <v>45629</v>
      </c>
      <c r="D185" t="s">
        <v>14</v>
      </c>
      <c r="E185" t="s">
        <v>526</v>
      </c>
      <c r="F185">
        <v>3809</v>
      </c>
      <c r="G185">
        <v>273</v>
      </c>
      <c r="H185">
        <v>200</v>
      </c>
      <c r="I185">
        <v>34281</v>
      </c>
      <c r="J185">
        <v>33534</v>
      </c>
      <c r="K185">
        <v>83</v>
      </c>
      <c r="L185" t="s">
        <v>505</v>
      </c>
      <c r="M185" t="s">
        <v>495</v>
      </c>
      <c r="N185">
        <v>0.12490884163239112</v>
      </c>
    </row>
    <row r="186" spans="1:14" x14ac:dyDescent="0.3">
      <c r="A186" t="s">
        <v>77</v>
      </c>
      <c r="B186" t="s">
        <v>23</v>
      </c>
      <c r="C186" s="24">
        <v>45775</v>
      </c>
      <c r="D186" t="s">
        <v>45</v>
      </c>
      <c r="E186" t="s">
        <v>497</v>
      </c>
      <c r="F186">
        <v>3577</v>
      </c>
      <c r="G186">
        <v>596</v>
      </c>
      <c r="H186">
        <v>493</v>
      </c>
      <c r="I186">
        <v>67963</v>
      </c>
      <c r="J186">
        <v>67839</v>
      </c>
      <c r="K186">
        <v>53</v>
      </c>
      <c r="L186" t="s">
        <v>498</v>
      </c>
      <c r="M186" t="s">
        <v>503</v>
      </c>
      <c r="N186">
        <v>6.8655003457763777E-2</v>
      </c>
    </row>
    <row r="187" spans="1:14" x14ac:dyDescent="0.3">
      <c r="A187" t="s">
        <v>12</v>
      </c>
      <c r="B187" t="s">
        <v>501</v>
      </c>
      <c r="C187" s="24">
        <v>45657</v>
      </c>
      <c r="D187" t="s">
        <v>14</v>
      </c>
      <c r="E187" t="s">
        <v>526</v>
      </c>
      <c r="F187">
        <v>1018</v>
      </c>
      <c r="G187">
        <v>447</v>
      </c>
      <c r="H187">
        <v>332</v>
      </c>
      <c r="I187">
        <v>18324</v>
      </c>
      <c r="J187">
        <v>18164</v>
      </c>
      <c r="K187">
        <v>38</v>
      </c>
      <c r="L187" t="s">
        <v>494</v>
      </c>
      <c r="M187" t="s">
        <v>499</v>
      </c>
      <c r="N187">
        <v>9.8068107400130972E-2</v>
      </c>
    </row>
    <row r="188" spans="1:14" x14ac:dyDescent="0.3">
      <c r="A188" t="s">
        <v>232</v>
      </c>
      <c r="B188" t="s">
        <v>18</v>
      </c>
      <c r="C188" s="24">
        <v>45518</v>
      </c>
      <c r="D188" t="s">
        <v>20</v>
      </c>
      <c r="E188" t="s">
        <v>507</v>
      </c>
      <c r="F188">
        <v>3073</v>
      </c>
      <c r="G188">
        <v>553</v>
      </c>
      <c r="H188">
        <v>174</v>
      </c>
      <c r="I188">
        <v>52241</v>
      </c>
      <c r="J188">
        <v>51605</v>
      </c>
      <c r="K188">
        <v>246</v>
      </c>
      <c r="L188" t="s">
        <v>505</v>
      </c>
      <c r="M188" t="s">
        <v>503</v>
      </c>
      <c r="N188">
        <v>7.2739802071170159E-2</v>
      </c>
    </row>
    <row r="189" spans="1:14" x14ac:dyDescent="0.3">
      <c r="A189" t="s">
        <v>320</v>
      </c>
      <c r="B189" t="s">
        <v>23</v>
      </c>
      <c r="C189" s="24">
        <v>45631</v>
      </c>
      <c r="D189" t="s">
        <v>14</v>
      </c>
      <c r="E189" t="s">
        <v>522</v>
      </c>
      <c r="F189">
        <v>1330</v>
      </c>
      <c r="G189">
        <v>925</v>
      </c>
      <c r="H189">
        <v>35</v>
      </c>
      <c r="I189">
        <v>15960</v>
      </c>
      <c r="J189">
        <v>15379</v>
      </c>
      <c r="K189">
        <v>229</v>
      </c>
      <c r="L189" t="s">
        <v>494</v>
      </c>
      <c r="M189" t="s">
        <v>503</v>
      </c>
      <c r="N189">
        <v>0.14348370927318296</v>
      </c>
    </row>
    <row r="190" spans="1:14" x14ac:dyDescent="0.3">
      <c r="A190" t="s">
        <v>151</v>
      </c>
      <c r="B190" t="s">
        <v>18</v>
      </c>
      <c r="C190" s="24">
        <v>45465</v>
      </c>
      <c r="D190" t="s">
        <v>45</v>
      </c>
      <c r="E190" t="s">
        <v>510</v>
      </c>
      <c r="F190">
        <v>3828</v>
      </c>
      <c r="G190">
        <v>148</v>
      </c>
      <c r="H190">
        <v>253</v>
      </c>
      <c r="I190">
        <v>30624</v>
      </c>
      <c r="J190">
        <v>30229</v>
      </c>
      <c r="K190">
        <v>235</v>
      </c>
      <c r="L190" t="s">
        <v>505</v>
      </c>
      <c r="N190">
        <v>0.13809430512016718</v>
      </c>
    </row>
    <row r="191" spans="1:14" x14ac:dyDescent="0.3">
      <c r="A191" t="s">
        <v>211</v>
      </c>
      <c r="B191" t="s">
        <v>38</v>
      </c>
      <c r="C191" s="24">
        <v>45674</v>
      </c>
      <c r="D191" t="s">
        <v>53</v>
      </c>
      <c r="E191" t="s">
        <v>516</v>
      </c>
      <c r="F191">
        <v>142</v>
      </c>
      <c r="G191">
        <v>784</v>
      </c>
      <c r="H191">
        <v>183</v>
      </c>
      <c r="I191">
        <v>1704</v>
      </c>
      <c r="J191">
        <v>995</v>
      </c>
      <c r="K191">
        <v>154</v>
      </c>
      <c r="L191" t="s">
        <v>494</v>
      </c>
      <c r="M191" t="s">
        <v>506</v>
      </c>
      <c r="N191">
        <v>0.6508215962441315</v>
      </c>
    </row>
    <row r="192" spans="1:14" x14ac:dyDescent="0.3">
      <c r="A192" t="s">
        <v>172</v>
      </c>
      <c r="B192" t="s">
        <v>18</v>
      </c>
      <c r="C192" s="24">
        <v>45463</v>
      </c>
      <c r="D192" t="s">
        <v>14</v>
      </c>
      <c r="E192" t="s">
        <v>515</v>
      </c>
      <c r="F192">
        <v>3798</v>
      </c>
      <c r="G192">
        <v>31</v>
      </c>
      <c r="H192">
        <v>279</v>
      </c>
      <c r="I192">
        <v>75960</v>
      </c>
      <c r="J192">
        <v>75813</v>
      </c>
      <c r="K192">
        <v>266</v>
      </c>
      <c r="L192" t="s">
        <v>498</v>
      </c>
      <c r="M192" t="s">
        <v>495</v>
      </c>
      <c r="N192">
        <v>5.4081095313322801E-2</v>
      </c>
    </row>
    <row r="193" spans="1:14" x14ac:dyDescent="0.3">
      <c r="A193" t="s">
        <v>269</v>
      </c>
      <c r="B193" t="s">
        <v>38</v>
      </c>
      <c r="C193" s="24">
        <v>45483</v>
      </c>
      <c r="D193" t="s">
        <v>20</v>
      </c>
      <c r="E193" t="s">
        <v>518</v>
      </c>
      <c r="F193">
        <v>3099</v>
      </c>
      <c r="G193">
        <v>694</v>
      </c>
      <c r="H193">
        <v>171</v>
      </c>
      <c r="I193">
        <v>43386</v>
      </c>
      <c r="J193">
        <v>42921</v>
      </c>
      <c r="K193">
        <v>52</v>
      </c>
      <c r="L193" t="s">
        <v>498</v>
      </c>
      <c r="M193" t="s">
        <v>503</v>
      </c>
      <c r="N193">
        <v>9.1365878393951966E-2</v>
      </c>
    </row>
    <row r="194" spans="1:14" x14ac:dyDescent="0.3">
      <c r="A194" t="s">
        <v>298</v>
      </c>
      <c r="B194" t="s">
        <v>38</v>
      </c>
      <c r="C194" s="24">
        <v>45603</v>
      </c>
      <c r="D194" t="s">
        <v>14</v>
      </c>
      <c r="E194" t="s">
        <v>517</v>
      </c>
      <c r="F194">
        <v>129</v>
      </c>
      <c r="G194">
        <v>643</v>
      </c>
      <c r="H194">
        <v>136</v>
      </c>
      <c r="I194">
        <v>1290</v>
      </c>
      <c r="J194">
        <v>839</v>
      </c>
      <c r="K194">
        <v>238</v>
      </c>
      <c r="L194" t="s">
        <v>498</v>
      </c>
      <c r="M194" t="s">
        <v>506</v>
      </c>
      <c r="N194">
        <v>0.70387596899224802</v>
      </c>
    </row>
    <row r="195" spans="1:14" x14ac:dyDescent="0.3">
      <c r="A195" t="s">
        <v>221</v>
      </c>
      <c r="B195" t="s">
        <v>18</v>
      </c>
      <c r="C195" s="24">
        <v>45488</v>
      </c>
      <c r="D195" t="s">
        <v>20</v>
      </c>
      <c r="E195" t="s">
        <v>507</v>
      </c>
      <c r="F195">
        <v>3796</v>
      </c>
      <c r="G195">
        <v>667</v>
      </c>
      <c r="H195">
        <v>395</v>
      </c>
      <c r="I195">
        <v>64532</v>
      </c>
      <c r="J195">
        <v>63550</v>
      </c>
      <c r="K195">
        <v>292</v>
      </c>
      <c r="L195" t="s">
        <v>498</v>
      </c>
      <c r="N195">
        <v>7.5280481001673588E-2</v>
      </c>
    </row>
    <row r="196" spans="1:14" x14ac:dyDescent="0.3">
      <c r="A196" t="s">
        <v>344</v>
      </c>
      <c r="B196" t="s">
        <v>501</v>
      </c>
      <c r="C196" s="24">
        <v>45629</v>
      </c>
      <c r="D196" t="s">
        <v>45</v>
      </c>
      <c r="E196" t="s">
        <v>519</v>
      </c>
      <c r="F196">
        <v>3711</v>
      </c>
      <c r="G196">
        <v>352</v>
      </c>
      <c r="H196">
        <v>290</v>
      </c>
      <c r="I196">
        <v>48243</v>
      </c>
      <c r="J196">
        <v>47579</v>
      </c>
      <c r="K196">
        <v>11</v>
      </c>
      <c r="L196" t="s">
        <v>498</v>
      </c>
      <c r="M196" t="s">
        <v>495</v>
      </c>
      <c r="N196">
        <v>9.023070704558174E-2</v>
      </c>
    </row>
    <row r="197" spans="1:14" x14ac:dyDescent="0.3">
      <c r="A197" t="s">
        <v>169</v>
      </c>
      <c r="B197" t="s">
        <v>501</v>
      </c>
      <c r="C197" s="24">
        <v>45737</v>
      </c>
      <c r="D197" t="s">
        <v>24</v>
      </c>
      <c r="E197" t="s">
        <v>509</v>
      </c>
      <c r="F197">
        <v>606</v>
      </c>
      <c r="G197">
        <v>789</v>
      </c>
      <c r="H197">
        <v>470</v>
      </c>
      <c r="I197">
        <v>7878</v>
      </c>
      <c r="J197">
        <v>7389</v>
      </c>
      <c r="K197">
        <v>239</v>
      </c>
      <c r="L197" t="s">
        <v>505</v>
      </c>
      <c r="M197" t="s">
        <v>503</v>
      </c>
      <c r="N197">
        <v>0.23673521198273673</v>
      </c>
    </row>
    <row r="198" spans="1:14" x14ac:dyDescent="0.3">
      <c r="A198" t="s">
        <v>32</v>
      </c>
      <c r="B198" t="s">
        <v>18</v>
      </c>
      <c r="C198" s="24">
        <v>45504</v>
      </c>
      <c r="D198" t="s">
        <v>24</v>
      </c>
      <c r="E198" t="s">
        <v>511</v>
      </c>
      <c r="F198">
        <v>4689</v>
      </c>
      <c r="G198">
        <v>134</v>
      </c>
      <c r="H198">
        <v>403</v>
      </c>
      <c r="I198">
        <v>51579</v>
      </c>
      <c r="J198">
        <v>50924</v>
      </c>
      <c r="K198">
        <v>173</v>
      </c>
      <c r="L198" t="s">
        <v>498</v>
      </c>
      <c r="M198" t="s">
        <v>506</v>
      </c>
      <c r="N198">
        <v>0.10132030477519921</v>
      </c>
    </row>
    <row r="199" spans="1:14" x14ac:dyDescent="0.3">
      <c r="A199" t="s">
        <v>199</v>
      </c>
      <c r="B199" t="s">
        <v>38</v>
      </c>
      <c r="C199" s="24">
        <v>45643</v>
      </c>
      <c r="D199" t="s">
        <v>57</v>
      </c>
      <c r="E199" t="s">
        <v>504</v>
      </c>
      <c r="F199">
        <v>360</v>
      </c>
      <c r="G199">
        <v>590</v>
      </c>
      <c r="H199">
        <v>393</v>
      </c>
      <c r="I199">
        <v>4680</v>
      </c>
      <c r="J199">
        <v>4322</v>
      </c>
      <c r="K199">
        <v>208</v>
      </c>
      <c r="L199" t="s">
        <v>494</v>
      </c>
      <c r="M199" t="s">
        <v>499</v>
      </c>
      <c r="N199">
        <v>0.28696581196581195</v>
      </c>
    </row>
    <row r="200" spans="1:14" x14ac:dyDescent="0.3">
      <c r="A200" t="s">
        <v>74</v>
      </c>
      <c r="B200" t="s">
        <v>23</v>
      </c>
      <c r="C200" s="24">
        <v>45501</v>
      </c>
      <c r="D200" t="s">
        <v>24</v>
      </c>
      <c r="E200" t="s">
        <v>521</v>
      </c>
      <c r="F200">
        <v>3215</v>
      </c>
      <c r="G200">
        <v>960</v>
      </c>
      <c r="H200">
        <v>202</v>
      </c>
      <c r="I200">
        <v>32150</v>
      </c>
      <c r="J200">
        <v>31404</v>
      </c>
      <c r="K200">
        <v>251</v>
      </c>
      <c r="L200" t="s">
        <v>505</v>
      </c>
      <c r="M200" t="s">
        <v>495</v>
      </c>
      <c r="N200">
        <v>0.13614307931570763</v>
      </c>
    </row>
    <row r="201" spans="1:14" x14ac:dyDescent="0.3">
      <c r="A201" t="s">
        <v>267</v>
      </c>
      <c r="B201" t="s">
        <v>38</v>
      </c>
      <c r="C201" s="24">
        <v>45668</v>
      </c>
      <c r="D201" t="s">
        <v>20</v>
      </c>
      <c r="E201" t="s">
        <v>518</v>
      </c>
      <c r="F201">
        <v>4523</v>
      </c>
      <c r="G201">
        <v>61</v>
      </c>
      <c r="H201">
        <v>157</v>
      </c>
      <c r="I201">
        <v>49753</v>
      </c>
      <c r="J201">
        <v>49329</v>
      </c>
      <c r="K201">
        <v>71</v>
      </c>
      <c r="L201" t="s">
        <v>505</v>
      </c>
      <c r="N201">
        <v>9.5290736237010829E-2</v>
      </c>
    </row>
    <row r="202" spans="1:14" x14ac:dyDescent="0.3">
      <c r="A202" t="s">
        <v>118</v>
      </c>
      <c r="B202" t="s">
        <v>18</v>
      </c>
      <c r="C202" s="24">
        <v>45528</v>
      </c>
      <c r="D202" t="s">
        <v>20</v>
      </c>
      <c r="E202" t="s">
        <v>507</v>
      </c>
      <c r="F202">
        <v>4292</v>
      </c>
      <c r="G202">
        <v>51</v>
      </c>
      <c r="H202">
        <v>392</v>
      </c>
      <c r="I202">
        <v>55796</v>
      </c>
      <c r="J202">
        <v>54826</v>
      </c>
      <c r="K202">
        <v>264</v>
      </c>
      <c r="L202" t="s">
        <v>505</v>
      </c>
      <c r="M202" t="s">
        <v>503</v>
      </c>
      <c r="N202">
        <v>8.4862714173059003E-2</v>
      </c>
    </row>
    <row r="203" spans="1:14" x14ac:dyDescent="0.3">
      <c r="A203" t="s">
        <v>145</v>
      </c>
      <c r="B203" t="s">
        <v>23</v>
      </c>
      <c r="C203" s="24">
        <v>45648</v>
      </c>
      <c r="D203" t="s">
        <v>53</v>
      </c>
      <c r="E203" t="s">
        <v>493</v>
      </c>
      <c r="F203">
        <v>1644</v>
      </c>
      <c r="G203">
        <v>546</v>
      </c>
      <c r="H203">
        <v>150</v>
      </c>
      <c r="I203">
        <v>27948</v>
      </c>
      <c r="J203">
        <v>27184</v>
      </c>
      <c r="K203">
        <v>300</v>
      </c>
      <c r="L203" t="s">
        <v>505</v>
      </c>
      <c r="M203" t="s">
        <v>503</v>
      </c>
      <c r="N203">
        <v>8.3726921425504502E-2</v>
      </c>
    </row>
    <row r="204" spans="1:14" x14ac:dyDescent="0.3">
      <c r="A204" t="s">
        <v>310</v>
      </c>
      <c r="B204" t="s">
        <v>501</v>
      </c>
      <c r="C204" s="24">
        <v>45449</v>
      </c>
      <c r="D204" t="s">
        <v>53</v>
      </c>
      <c r="E204" t="s">
        <v>502</v>
      </c>
      <c r="F204">
        <v>2728</v>
      </c>
      <c r="G204">
        <v>533</v>
      </c>
      <c r="H204">
        <v>215</v>
      </c>
      <c r="I204">
        <v>40920</v>
      </c>
      <c r="J204">
        <v>40816</v>
      </c>
      <c r="K204">
        <v>137</v>
      </c>
      <c r="L204" t="s">
        <v>494</v>
      </c>
      <c r="M204" t="s">
        <v>499</v>
      </c>
      <c r="N204">
        <v>8.4946236559139784E-2</v>
      </c>
    </row>
    <row r="205" spans="1:14" x14ac:dyDescent="0.3">
      <c r="A205" t="s">
        <v>127</v>
      </c>
      <c r="B205" t="s">
        <v>18</v>
      </c>
      <c r="C205" s="24">
        <v>45740</v>
      </c>
      <c r="D205" t="s">
        <v>53</v>
      </c>
      <c r="E205" t="s">
        <v>512</v>
      </c>
      <c r="F205">
        <v>3360</v>
      </c>
      <c r="G205">
        <v>525</v>
      </c>
      <c r="H205">
        <v>500</v>
      </c>
      <c r="I205">
        <v>60480</v>
      </c>
      <c r="J205">
        <v>59610</v>
      </c>
      <c r="K205">
        <v>192</v>
      </c>
      <c r="L205" t="s">
        <v>498</v>
      </c>
      <c r="M205" t="s">
        <v>495</v>
      </c>
      <c r="N205">
        <v>7.2503306878306875E-2</v>
      </c>
    </row>
    <row r="206" spans="1:14" x14ac:dyDescent="0.3">
      <c r="A206" t="s">
        <v>336</v>
      </c>
      <c r="B206" t="s">
        <v>501</v>
      </c>
      <c r="C206" s="24">
        <v>45569</v>
      </c>
      <c r="D206" t="s">
        <v>45</v>
      </c>
      <c r="E206" t="s">
        <v>519</v>
      </c>
      <c r="F206">
        <v>1963</v>
      </c>
      <c r="G206">
        <v>213</v>
      </c>
      <c r="H206">
        <v>19</v>
      </c>
      <c r="I206">
        <v>39260</v>
      </c>
      <c r="J206">
        <v>38771</v>
      </c>
      <c r="K206">
        <v>145</v>
      </c>
      <c r="L206" t="s">
        <v>494</v>
      </c>
      <c r="N206">
        <v>5.5909322465613857E-2</v>
      </c>
    </row>
    <row r="207" spans="1:14" x14ac:dyDescent="0.3">
      <c r="A207" t="s">
        <v>343</v>
      </c>
      <c r="B207" t="s">
        <v>501</v>
      </c>
      <c r="C207" s="24">
        <v>45629</v>
      </c>
      <c r="D207" t="s">
        <v>57</v>
      </c>
      <c r="E207" t="s">
        <v>524</v>
      </c>
      <c r="F207">
        <v>4285</v>
      </c>
      <c r="G207">
        <v>886</v>
      </c>
      <c r="H207">
        <v>376</v>
      </c>
      <c r="I207">
        <v>55705</v>
      </c>
      <c r="J207">
        <v>55556</v>
      </c>
      <c r="K207">
        <v>51</v>
      </c>
      <c r="L207" t="s">
        <v>494</v>
      </c>
      <c r="M207" t="s">
        <v>503</v>
      </c>
      <c r="N207">
        <v>9.9578134817341346E-2</v>
      </c>
    </row>
    <row r="208" spans="1:14" x14ac:dyDescent="0.3">
      <c r="A208" t="s">
        <v>49</v>
      </c>
      <c r="B208" t="s">
        <v>38</v>
      </c>
      <c r="C208" s="24">
        <v>45625</v>
      </c>
      <c r="D208" t="s">
        <v>14</v>
      </c>
      <c r="E208" t="s">
        <v>517</v>
      </c>
      <c r="F208">
        <v>1176</v>
      </c>
      <c r="G208">
        <v>464</v>
      </c>
      <c r="H208">
        <v>394</v>
      </c>
      <c r="I208">
        <v>14112</v>
      </c>
      <c r="J208">
        <v>13588</v>
      </c>
      <c r="K208">
        <v>272</v>
      </c>
      <c r="L208" t="s">
        <v>505</v>
      </c>
      <c r="N208">
        <v>0.1441326530612245</v>
      </c>
    </row>
    <row r="209" spans="1:14" x14ac:dyDescent="0.3">
      <c r="A209" t="s">
        <v>258</v>
      </c>
      <c r="B209" t="s">
        <v>23</v>
      </c>
      <c r="C209" s="24">
        <v>45546</v>
      </c>
      <c r="D209" t="s">
        <v>24</v>
      </c>
      <c r="E209" t="s">
        <v>521</v>
      </c>
      <c r="F209">
        <v>4858</v>
      </c>
      <c r="G209">
        <v>317</v>
      </c>
      <c r="H209">
        <v>129</v>
      </c>
      <c r="I209">
        <v>53438</v>
      </c>
      <c r="J209">
        <v>52687</v>
      </c>
      <c r="K209">
        <v>223</v>
      </c>
      <c r="L209" t="s">
        <v>505</v>
      </c>
      <c r="M209" t="s">
        <v>503</v>
      </c>
      <c r="N209">
        <v>9.9255211647142488E-2</v>
      </c>
    </row>
    <row r="210" spans="1:14" x14ac:dyDescent="0.3">
      <c r="A210" t="s">
        <v>361</v>
      </c>
      <c r="B210" t="s">
        <v>501</v>
      </c>
      <c r="C210" s="24">
        <v>45567</v>
      </c>
      <c r="D210" t="s">
        <v>57</v>
      </c>
      <c r="E210" t="s">
        <v>524</v>
      </c>
      <c r="F210">
        <v>4350</v>
      </c>
      <c r="G210">
        <v>771</v>
      </c>
      <c r="H210">
        <v>7</v>
      </c>
      <c r="I210">
        <v>60900</v>
      </c>
      <c r="J210">
        <v>60592</v>
      </c>
      <c r="K210">
        <v>195</v>
      </c>
      <c r="L210" t="s">
        <v>505</v>
      </c>
      <c r="M210" t="s">
        <v>495</v>
      </c>
      <c r="N210">
        <v>8.4203612479474554E-2</v>
      </c>
    </row>
    <row r="211" spans="1:14" x14ac:dyDescent="0.3">
      <c r="A211" t="s">
        <v>219</v>
      </c>
      <c r="B211" t="s">
        <v>38</v>
      </c>
      <c r="C211" s="24">
        <v>45519</v>
      </c>
      <c r="D211" t="s">
        <v>20</v>
      </c>
      <c r="E211" t="s">
        <v>518</v>
      </c>
      <c r="F211">
        <v>914</v>
      </c>
      <c r="G211">
        <v>464</v>
      </c>
      <c r="H211">
        <v>246</v>
      </c>
      <c r="I211">
        <v>11882</v>
      </c>
      <c r="J211">
        <v>11500</v>
      </c>
      <c r="K211">
        <v>282</v>
      </c>
      <c r="L211" t="s">
        <v>494</v>
      </c>
      <c r="M211" t="s">
        <v>506</v>
      </c>
      <c r="N211">
        <v>0.13667732704931829</v>
      </c>
    </row>
    <row r="212" spans="1:14" x14ac:dyDescent="0.3">
      <c r="A212" t="s">
        <v>219</v>
      </c>
      <c r="B212" t="s">
        <v>38</v>
      </c>
      <c r="C212" s="24">
        <v>45519</v>
      </c>
      <c r="D212" t="s">
        <v>20</v>
      </c>
      <c r="E212" t="s">
        <v>518</v>
      </c>
      <c r="F212">
        <v>914</v>
      </c>
      <c r="G212">
        <v>464</v>
      </c>
      <c r="H212">
        <v>246</v>
      </c>
      <c r="I212">
        <v>11882</v>
      </c>
      <c r="J212">
        <v>11500</v>
      </c>
      <c r="K212">
        <v>282</v>
      </c>
      <c r="L212" t="s">
        <v>498</v>
      </c>
      <c r="M212" t="s">
        <v>506</v>
      </c>
      <c r="N212">
        <v>0.13667732704931829</v>
      </c>
    </row>
    <row r="213" spans="1:14" x14ac:dyDescent="0.3">
      <c r="A213" t="s">
        <v>219</v>
      </c>
      <c r="B213" t="s">
        <v>38</v>
      </c>
      <c r="C213" s="24">
        <v>45519</v>
      </c>
      <c r="D213" t="s">
        <v>20</v>
      </c>
      <c r="E213" t="s">
        <v>518</v>
      </c>
      <c r="F213">
        <v>914</v>
      </c>
      <c r="G213">
        <v>464</v>
      </c>
      <c r="H213">
        <v>246</v>
      </c>
      <c r="I213">
        <v>11882</v>
      </c>
      <c r="J213">
        <v>11500</v>
      </c>
      <c r="K213">
        <v>282</v>
      </c>
      <c r="L213" t="s">
        <v>496</v>
      </c>
      <c r="M213" t="s">
        <v>506</v>
      </c>
      <c r="N213">
        <v>0.13667732704931829</v>
      </c>
    </row>
    <row r="214" spans="1:14" x14ac:dyDescent="0.3">
      <c r="A214" t="s">
        <v>175</v>
      </c>
      <c r="B214" t="s">
        <v>38</v>
      </c>
      <c r="C214" s="24">
        <v>45645</v>
      </c>
      <c r="D214" t="s">
        <v>45</v>
      </c>
      <c r="E214" t="s">
        <v>520</v>
      </c>
      <c r="F214">
        <v>1813</v>
      </c>
      <c r="G214">
        <v>623</v>
      </c>
      <c r="H214">
        <v>72</v>
      </c>
      <c r="I214">
        <v>19943</v>
      </c>
      <c r="J214">
        <v>18959</v>
      </c>
      <c r="K214">
        <v>85</v>
      </c>
      <c r="L214" t="s">
        <v>505</v>
      </c>
      <c r="M214" t="s">
        <v>503</v>
      </c>
      <c r="N214">
        <v>0.12575841147269717</v>
      </c>
    </row>
    <row r="215" spans="1:14" x14ac:dyDescent="0.3">
      <c r="A215" t="s">
        <v>149</v>
      </c>
      <c r="B215" t="s">
        <v>23</v>
      </c>
      <c r="C215" s="24">
        <v>45587</v>
      </c>
      <c r="D215" t="s">
        <v>53</v>
      </c>
      <c r="E215" t="s">
        <v>493</v>
      </c>
      <c r="F215">
        <v>4782</v>
      </c>
      <c r="G215">
        <v>721</v>
      </c>
      <c r="H215">
        <v>82</v>
      </c>
      <c r="I215">
        <v>86076</v>
      </c>
      <c r="J215">
        <v>85339</v>
      </c>
      <c r="K215">
        <v>19</v>
      </c>
      <c r="L215" t="s">
        <v>505</v>
      </c>
      <c r="M215" t="s">
        <v>495</v>
      </c>
      <c r="N215">
        <v>6.4884520656164318E-2</v>
      </c>
    </row>
    <row r="216" spans="1:14" x14ac:dyDescent="0.3">
      <c r="A216" t="s">
        <v>231</v>
      </c>
      <c r="B216" t="s">
        <v>23</v>
      </c>
      <c r="C216" s="24">
        <v>45549</v>
      </c>
      <c r="D216" t="s">
        <v>24</v>
      </c>
      <c r="E216" t="s">
        <v>521</v>
      </c>
      <c r="F216">
        <v>1048</v>
      </c>
      <c r="G216">
        <v>374</v>
      </c>
      <c r="H216">
        <v>450</v>
      </c>
      <c r="I216">
        <v>9432</v>
      </c>
      <c r="J216">
        <v>8882</v>
      </c>
      <c r="K216">
        <v>158</v>
      </c>
      <c r="L216" t="s">
        <v>498</v>
      </c>
      <c r="M216" t="s">
        <v>503</v>
      </c>
      <c r="N216">
        <v>0.19847328244274809</v>
      </c>
    </row>
    <row r="217" spans="1:14" x14ac:dyDescent="0.3">
      <c r="A217" t="s">
        <v>40</v>
      </c>
      <c r="B217" t="s">
        <v>501</v>
      </c>
      <c r="C217" s="24">
        <v>45626</v>
      </c>
      <c r="D217" t="s">
        <v>20</v>
      </c>
      <c r="E217" t="s">
        <v>513</v>
      </c>
      <c r="F217">
        <v>2509</v>
      </c>
      <c r="G217">
        <v>324</v>
      </c>
      <c r="H217">
        <v>171</v>
      </c>
      <c r="I217">
        <v>35126</v>
      </c>
      <c r="J217">
        <v>34685</v>
      </c>
      <c r="K217">
        <v>277</v>
      </c>
      <c r="L217" t="s">
        <v>498</v>
      </c>
      <c r="M217" t="s">
        <v>499</v>
      </c>
      <c r="N217">
        <v>8.5520696919660646E-2</v>
      </c>
    </row>
    <row r="218" spans="1:14" x14ac:dyDescent="0.3">
      <c r="A218" t="s">
        <v>303</v>
      </c>
      <c r="B218" t="s">
        <v>18</v>
      </c>
      <c r="C218" s="24">
        <v>45754</v>
      </c>
      <c r="D218" t="s">
        <v>53</v>
      </c>
      <c r="E218" t="s">
        <v>512</v>
      </c>
      <c r="F218">
        <v>3718</v>
      </c>
      <c r="G218">
        <v>385</v>
      </c>
      <c r="H218">
        <v>310</v>
      </c>
      <c r="I218">
        <v>70642</v>
      </c>
      <c r="J218">
        <v>69749</v>
      </c>
      <c r="K218">
        <v>233</v>
      </c>
      <c r="L218" t="s">
        <v>498</v>
      </c>
      <c r="M218" t="s">
        <v>499</v>
      </c>
      <c r="N218">
        <v>6.246991874522239E-2</v>
      </c>
    </row>
    <row r="219" spans="1:14" x14ac:dyDescent="0.3">
      <c r="A219" t="s">
        <v>227</v>
      </c>
      <c r="B219" t="s">
        <v>23</v>
      </c>
      <c r="C219" s="24">
        <v>45672</v>
      </c>
      <c r="D219" t="s">
        <v>53</v>
      </c>
      <c r="E219" t="s">
        <v>493</v>
      </c>
      <c r="F219">
        <v>802</v>
      </c>
      <c r="G219">
        <v>262</v>
      </c>
      <c r="H219">
        <v>244</v>
      </c>
      <c r="I219">
        <v>14436</v>
      </c>
      <c r="J219">
        <v>14280</v>
      </c>
      <c r="K219">
        <v>49</v>
      </c>
      <c r="L219" t="s">
        <v>505</v>
      </c>
      <c r="M219" t="s">
        <v>495</v>
      </c>
      <c r="N219">
        <v>9.0606816292601824E-2</v>
      </c>
    </row>
    <row r="220" spans="1:14" x14ac:dyDescent="0.3">
      <c r="A220" t="s">
        <v>366</v>
      </c>
      <c r="B220" t="s">
        <v>18</v>
      </c>
      <c r="C220" s="24">
        <v>45445</v>
      </c>
      <c r="D220" t="s">
        <v>24</v>
      </c>
      <c r="E220" t="s">
        <v>511</v>
      </c>
      <c r="F220">
        <v>1871</v>
      </c>
      <c r="G220">
        <v>252</v>
      </c>
      <c r="H220">
        <v>335</v>
      </c>
      <c r="I220">
        <v>29936</v>
      </c>
      <c r="J220">
        <v>29576</v>
      </c>
      <c r="K220">
        <v>288</v>
      </c>
      <c r="L220" t="s">
        <v>505</v>
      </c>
      <c r="M220" t="s">
        <v>503</v>
      </c>
      <c r="N220">
        <v>8.2108498129342594E-2</v>
      </c>
    </row>
    <row r="221" spans="1:14" x14ac:dyDescent="0.3">
      <c r="A221" t="s">
        <v>157</v>
      </c>
      <c r="B221" t="s">
        <v>38</v>
      </c>
      <c r="C221" s="24">
        <v>45617</v>
      </c>
      <c r="D221" t="s">
        <v>20</v>
      </c>
      <c r="E221" t="s">
        <v>518</v>
      </c>
      <c r="F221">
        <v>3773</v>
      </c>
      <c r="G221">
        <v>299</v>
      </c>
      <c r="H221">
        <v>38</v>
      </c>
      <c r="I221">
        <v>71687</v>
      </c>
      <c r="J221">
        <v>71447</v>
      </c>
      <c r="K221">
        <v>286</v>
      </c>
      <c r="L221" t="s">
        <v>494</v>
      </c>
      <c r="M221" t="s">
        <v>495</v>
      </c>
      <c r="N221">
        <v>5.7332570758993957E-2</v>
      </c>
    </row>
    <row r="222" spans="1:14" x14ac:dyDescent="0.3">
      <c r="A222" t="s">
        <v>382</v>
      </c>
      <c r="B222" t="s">
        <v>38</v>
      </c>
      <c r="C222" s="24">
        <v>45658</v>
      </c>
      <c r="D222" t="s">
        <v>20</v>
      </c>
      <c r="E222" t="s">
        <v>518</v>
      </c>
      <c r="F222">
        <v>2234</v>
      </c>
      <c r="G222">
        <v>653</v>
      </c>
      <c r="H222">
        <v>432</v>
      </c>
      <c r="I222">
        <v>11170</v>
      </c>
      <c r="J222">
        <v>10569</v>
      </c>
      <c r="K222">
        <v>198</v>
      </c>
      <c r="L222" t="s">
        <v>494</v>
      </c>
      <c r="M222" t="s">
        <v>503</v>
      </c>
      <c r="N222">
        <v>0.29713518352730528</v>
      </c>
    </row>
    <row r="223" spans="1:14" x14ac:dyDescent="0.3">
      <c r="A223" t="s">
        <v>126</v>
      </c>
      <c r="B223" t="s">
        <v>23</v>
      </c>
      <c r="C223" s="24">
        <v>45771</v>
      </c>
      <c r="D223" t="s">
        <v>14</v>
      </c>
      <c r="E223" t="s">
        <v>522</v>
      </c>
      <c r="F223">
        <v>3820</v>
      </c>
      <c r="G223">
        <v>697</v>
      </c>
      <c r="H223">
        <v>268</v>
      </c>
      <c r="I223">
        <v>45840</v>
      </c>
      <c r="J223">
        <v>45631</v>
      </c>
      <c r="K223">
        <v>171</v>
      </c>
      <c r="L223" t="s">
        <v>498</v>
      </c>
      <c r="M223" t="s">
        <v>506</v>
      </c>
      <c r="N223">
        <v>0.1043848167539267</v>
      </c>
    </row>
    <row r="224" spans="1:14" x14ac:dyDescent="0.3">
      <c r="A224" t="s">
        <v>126</v>
      </c>
      <c r="B224" t="s">
        <v>23</v>
      </c>
      <c r="C224" s="24">
        <v>45771</v>
      </c>
      <c r="D224" t="s">
        <v>14</v>
      </c>
      <c r="E224" t="s">
        <v>522</v>
      </c>
      <c r="F224">
        <v>3820</v>
      </c>
      <c r="G224">
        <v>697</v>
      </c>
      <c r="H224">
        <v>268</v>
      </c>
      <c r="I224">
        <v>45840</v>
      </c>
      <c r="J224">
        <v>45631</v>
      </c>
      <c r="K224">
        <v>171</v>
      </c>
      <c r="L224" t="s">
        <v>527</v>
      </c>
      <c r="M224" t="s">
        <v>506</v>
      </c>
      <c r="N224">
        <v>0.1043848167539267</v>
      </c>
    </row>
    <row r="225" spans="1:14" x14ac:dyDescent="0.3">
      <c r="A225" t="s">
        <v>123</v>
      </c>
      <c r="B225" t="s">
        <v>23</v>
      </c>
      <c r="C225" s="24">
        <v>45467</v>
      </c>
      <c r="D225" t="s">
        <v>45</v>
      </c>
      <c r="E225" t="s">
        <v>497</v>
      </c>
      <c r="F225">
        <v>941</v>
      </c>
      <c r="G225">
        <v>121</v>
      </c>
      <c r="H225">
        <v>458</v>
      </c>
      <c r="I225">
        <v>14115</v>
      </c>
      <c r="J225">
        <v>13838</v>
      </c>
      <c r="K225">
        <v>87</v>
      </c>
      <c r="L225" t="s">
        <v>505</v>
      </c>
      <c r="M225" t="s">
        <v>495</v>
      </c>
      <c r="N225">
        <v>0.10768685795253277</v>
      </c>
    </row>
    <row r="226" spans="1:14" x14ac:dyDescent="0.3">
      <c r="A226" t="s">
        <v>48</v>
      </c>
      <c r="B226" t="s">
        <v>23</v>
      </c>
      <c r="C226" s="24">
        <v>45655</v>
      </c>
      <c r="D226" t="s">
        <v>20</v>
      </c>
      <c r="E226" t="s">
        <v>508</v>
      </c>
      <c r="F226">
        <v>4274</v>
      </c>
      <c r="G226">
        <v>340</v>
      </c>
      <c r="H226">
        <v>281</v>
      </c>
      <c r="I226">
        <v>34192</v>
      </c>
      <c r="J226">
        <v>33446</v>
      </c>
      <c r="K226">
        <v>129</v>
      </c>
      <c r="L226" t="s">
        <v>498</v>
      </c>
      <c r="M226" t="s">
        <v>503</v>
      </c>
      <c r="N226">
        <v>0.14316214319138981</v>
      </c>
    </row>
    <row r="227" spans="1:14" x14ac:dyDescent="0.3">
      <c r="A227" t="s">
        <v>48</v>
      </c>
      <c r="B227" t="s">
        <v>23</v>
      </c>
      <c r="C227" s="24">
        <v>45655</v>
      </c>
      <c r="D227" t="s">
        <v>20</v>
      </c>
      <c r="E227" t="s">
        <v>508</v>
      </c>
      <c r="F227">
        <v>4274</v>
      </c>
      <c r="G227">
        <v>340</v>
      </c>
      <c r="H227">
        <v>281</v>
      </c>
      <c r="I227">
        <v>34192</v>
      </c>
      <c r="J227">
        <v>33446</v>
      </c>
      <c r="K227">
        <v>129</v>
      </c>
      <c r="L227" t="s">
        <v>527</v>
      </c>
      <c r="M227" t="s">
        <v>503</v>
      </c>
      <c r="N227">
        <v>0.14316214319138981</v>
      </c>
    </row>
    <row r="228" spans="1:14" x14ac:dyDescent="0.3">
      <c r="A228" t="s">
        <v>124</v>
      </c>
      <c r="B228" t="s">
        <v>501</v>
      </c>
      <c r="C228" s="24">
        <v>45467</v>
      </c>
      <c r="D228" t="s">
        <v>14</v>
      </c>
      <c r="E228" t="s">
        <v>526</v>
      </c>
      <c r="F228">
        <v>2949</v>
      </c>
      <c r="G228">
        <v>476</v>
      </c>
      <c r="H228">
        <v>403</v>
      </c>
      <c r="I228">
        <v>44235</v>
      </c>
      <c r="J228">
        <v>43705</v>
      </c>
      <c r="K228">
        <v>135</v>
      </c>
      <c r="L228" t="s">
        <v>498</v>
      </c>
      <c r="M228" t="s">
        <v>499</v>
      </c>
      <c r="N228">
        <v>8.6537809426924378E-2</v>
      </c>
    </row>
    <row r="229" spans="1:14" x14ac:dyDescent="0.3">
      <c r="A229" t="s">
        <v>183</v>
      </c>
      <c r="B229" t="s">
        <v>23</v>
      </c>
      <c r="C229" s="24">
        <v>45735</v>
      </c>
      <c r="D229" t="s">
        <v>14</v>
      </c>
      <c r="E229" t="s">
        <v>522</v>
      </c>
      <c r="F229">
        <v>3160</v>
      </c>
      <c r="G229">
        <v>204</v>
      </c>
      <c r="H229">
        <v>297</v>
      </c>
      <c r="I229">
        <v>44240</v>
      </c>
      <c r="J229">
        <v>43666</v>
      </c>
      <c r="K229">
        <v>49</v>
      </c>
      <c r="L229" t="s">
        <v>494</v>
      </c>
      <c r="M229" t="s">
        <v>506</v>
      </c>
      <c r="N229">
        <v>8.2753164556962022E-2</v>
      </c>
    </row>
    <row r="230" spans="1:14" x14ac:dyDescent="0.3">
      <c r="A230" t="s">
        <v>183</v>
      </c>
      <c r="B230" t="s">
        <v>23</v>
      </c>
      <c r="C230" s="24">
        <v>45735</v>
      </c>
      <c r="D230" t="s">
        <v>14</v>
      </c>
      <c r="E230" t="s">
        <v>522</v>
      </c>
      <c r="F230">
        <v>3160</v>
      </c>
      <c r="G230">
        <v>204</v>
      </c>
      <c r="H230">
        <v>297</v>
      </c>
      <c r="I230">
        <v>44240</v>
      </c>
      <c r="J230">
        <v>43666</v>
      </c>
      <c r="K230">
        <v>49</v>
      </c>
      <c r="L230" t="s">
        <v>496</v>
      </c>
      <c r="M230" t="s">
        <v>506</v>
      </c>
      <c r="N230">
        <v>8.2753164556962022E-2</v>
      </c>
    </row>
    <row r="231" spans="1:14" x14ac:dyDescent="0.3">
      <c r="A231" t="s">
        <v>185</v>
      </c>
      <c r="B231" t="s">
        <v>501</v>
      </c>
      <c r="C231" s="24">
        <v>45707</v>
      </c>
      <c r="D231" t="s">
        <v>24</v>
      </c>
      <c r="E231" t="s">
        <v>509</v>
      </c>
      <c r="F231">
        <v>257</v>
      </c>
      <c r="G231">
        <v>966</v>
      </c>
      <c r="H231">
        <v>398</v>
      </c>
      <c r="I231">
        <v>3341</v>
      </c>
      <c r="J231">
        <v>2753</v>
      </c>
      <c r="K231">
        <v>287</v>
      </c>
      <c r="L231" t="s">
        <v>494</v>
      </c>
      <c r="M231" t="s">
        <v>495</v>
      </c>
      <c r="N231">
        <v>0.48518407662376534</v>
      </c>
    </row>
    <row r="232" spans="1:14" x14ac:dyDescent="0.3">
      <c r="A232" t="s">
        <v>194</v>
      </c>
      <c r="B232" t="s">
        <v>23</v>
      </c>
      <c r="C232" s="24">
        <v>45491</v>
      </c>
      <c r="D232" t="s">
        <v>20</v>
      </c>
      <c r="E232" t="s">
        <v>508</v>
      </c>
      <c r="F232">
        <v>2120</v>
      </c>
      <c r="G232">
        <v>38</v>
      </c>
      <c r="H232">
        <v>212</v>
      </c>
      <c r="I232">
        <v>12720</v>
      </c>
      <c r="J232">
        <v>12564</v>
      </c>
      <c r="K232">
        <v>21</v>
      </c>
      <c r="L232" t="s">
        <v>494</v>
      </c>
      <c r="M232" t="s">
        <v>506</v>
      </c>
      <c r="N232">
        <v>0.18632075471698112</v>
      </c>
    </row>
    <row r="233" spans="1:14" x14ac:dyDescent="0.3">
      <c r="A233" t="s">
        <v>354</v>
      </c>
      <c r="B233" t="s">
        <v>501</v>
      </c>
      <c r="C233" s="24">
        <v>45719</v>
      </c>
      <c r="D233" t="s">
        <v>14</v>
      </c>
      <c r="E233" t="s">
        <v>526</v>
      </c>
      <c r="F233">
        <v>3874</v>
      </c>
      <c r="G233">
        <v>884</v>
      </c>
      <c r="H233">
        <v>19</v>
      </c>
      <c r="I233">
        <v>38740</v>
      </c>
      <c r="J233">
        <v>38552</v>
      </c>
      <c r="K233">
        <v>219</v>
      </c>
      <c r="L233" t="s">
        <v>498</v>
      </c>
      <c r="M233" t="s">
        <v>499</v>
      </c>
      <c r="N233">
        <v>0.123309241094476</v>
      </c>
    </row>
    <row r="234" spans="1:14" x14ac:dyDescent="0.3">
      <c r="A234" t="s">
        <v>379</v>
      </c>
      <c r="B234" t="s">
        <v>18</v>
      </c>
      <c r="C234" s="24">
        <v>45778</v>
      </c>
      <c r="D234" t="s">
        <v>20</v>
      </c>
      <c r="E234" t="s">
        <v>507</v>
      </c>
      <c r="F234">
        <v>2696</v>
      </c>
      <c r="G234">
        <v>628</v>
      </c>
      <c r="H234">
        <v>443</v>
      </c>
      <c r="I234">
        <v>45832</v>
      </c>
      <c r="J234">
        <v>45632</v>
      </c>
      <c r="K234">
        <v>248</v>
      </c>
      <c r="L234" t="s">
        <v>505</v>
      </c>
      <c r="M234" t="s">
        <v>506</v>
      </c>
      <c r="N234">
        <v>8.21914819340199E-2</v>
      </c>
    </row>
    <row r="235" spans="1:14" x14ac:dyDescent="0.3">
      <c r="A235" t="s">
        <v>134</v>
      </c>
      <c r="B235" t="s">
        <v>38</v>
      </c>
      <c r="C235" s="24">
        <v>45649</v>
      </c>
      <c r="D235" t="s">
        <v>24</v>
      </c>
      <c r="E235" t="s">
        <v>525</v>
      </c>
      <c r="F235">
        <v>521</v>
      </c>
      <c r="G235">
        <v>746</v>
      </c>
      <c r="H235">
        <v>315</v>
      </c>
      <c r="I235">
        <v>4168</v>
      </c>
      <c r="J235">
        <v>3399</v>
      </c>
      <c r="K235">
        <v>282</v>
      </c>
      <c r="L235" t="s">
        <v>494</v>
      </c>
      <c r="M235" t="s">
        <v>499</v>
      </c>
      <c r="N235">
        <v>0.37955854126679461</v>
      </c>
    </row>
    <row r="236" spans="1:14" x14ac:dyDescent="0.3">
      <c r="A236" t="s">
        <v>312</v>
      </c>
      <c r="B236" t="s">
        <v>18</v>
      </c>
      <c r="C236" s="24">
        <v>45783</v>
      </c>
      <c r="D236" t="s">
        <v>24</v>
      </c>
      <c r="E236" t="s">
        <v>511</v>
      </c>
      <c r="F236">
        <v>4872</v>
      </c>
      <c r="G236">
        <v>925</v>
      </c>
      <c r="H236">
        <v>176</v>
      </c>
      <c r="I236">
        <v>82824</v>
      </c>
      <c r="J236">
        <v>82543</v>
      </c>
      <c r="K236">
        <v>89</v>
      </c>
      <c r="L236" t="s">
        <v>505</v>
      </c>
      <c r="M236" t="s">
        <v>499</v>
      </c>
      <c r="N236">
        <v>7.2116777745580993E-2</v>
      </c>
    </row>
    <row r="237" spans="1:14" x14ac:dyDescent="0.3">
      <c r="A237" t="s">
        <v>55</v>
      </c>
      <c r="B237" t="s">
        <v>501</v>
      </c>
      <c r="C237" s="24">
        <v>45502</v>
      </c>
      <c r="D237" t="s">
        <v>57</v>
      </c>
      <c r="E237" t="s">
        <v>524</v>
      </c>
      <c r="F237">
        <v>1509</v>
      </c>
      <c r="G237">
        <v>88</v>
      </c>
      <c r="H237">
        <v>163</v>
      </c>
      <c r="I237">
        <v>30180</v>
      </c>
      <c r="J237">
        <v>29689</v>
      </c>
      <c r="K237">
        <v>119</v>
      </c>
      <c r="L237" t="s">
        <v>505</v>
      </c>
      <c r="M237" t="s">
        <v>499</v>
      </c>
      <c r="N237">
        <v>5.8316766070245198E-2</v>
      </c>
    </row>
    <row r="238" spans="1:14" x14ac:dyDescent="0.3">
      <c r="A238" t="s">
        <v>345</v>
      </c>
      <c r="B238" t="s">
        <v>18</v>
      </c>
      <c r="C238" s="24">
        <v>45629</v>
      </c>
      <c r="D238" t="s">
        <v>24</v>
      </c>
      <c r="E238" t="s">
        <v>511</v>
      </c>
      <c r="F238">
        <v>4606</v>
      </c>
      <c r="G238">
        <v>931</v>
      </c>
      <c r="H238">
        <v>230</v>
      </c>
      <c r="I238">
        <v>92120</v>
      </c>
      <c r="J238">
        <v>91440</v>
      </c>
      <c r="K238">
        <v>56</v>
      </c>
      <c r="L238" t="s">
        <v>498</v>
      </c>
      <c r="N238">
        <v>6.2603126356925748E-2</v>
      </c>
    </row>
    <row r="239" spans="1:14" x14ac:dyDescent="0.3">
      <c r="A239" t="s">
        <v>261</v>
      </c>
      <c r="B239" t="s">
        <v>18</v>
      </c>
      <c r="C239" s="24">
        <v>45454</v>
      </c>
      <c r="D239" t="s">
        <v>20</v>
      </c>
      <c r="E239" t="s">
        <v>507</v>
      </c>
      <c r="F239">
        <v>1869</v>
      </c>
      <c r="G239">
        <v>453</v>
      </c>
      <c r="H239">
        <v>490</v>
      </c>
      <c r="I239">
        <v>14952</v>
      </c>
      <c r="J239">
        <v>14309</v>
      </c>
      <c r="K239">
        <v>275</v>
      </c>
      <c r="L239" t="s">
        <v>498</v>
      </c>
      <c r="M239" t="s">
        <v>506</v>
      </c>
      <c r="N239">
        <v>0.18806848582129482</v>
      </c>
    </row>
    <row r="240" spans="1:14" x14ac:dyDescent="0.3">
      <c r="A240" t="s">
        <v>82</v>
      </c>
      <c r="B240" t="s">
        <v>23</v>
      </c>
      <c r="C240" s="24">
        <v>45685</v>
      </c>
      <c r="D240" t="s">
        <v>53</v>
      </c>
      <c r="E240" t="s">
        <v>493</v>
      </c>
      <c r="F240">
        <v>1188</v>
      </c>
      <c r="G240">
        <v>470</v>
      </c>
      <c r="H240">
        <v>174</v>
      </c>
      <c r="I240">
        <v>7128</v>
      </c>
      <c r="J240">
        <v>6145</v>
      </c>
      <c r="K240">
        <v>270</v>
      </c>
      <c r="L240" t="s">
        <v>498</v>
      </c>
      <c r="M240" t="s">
        <v>506</v>
      </c>
      <c r="N240">
        <v>0.25701459034792368</v>
      </c>
    </row>
    <row r="241" spans="1:14" x14ac:dyDescent="0.3">
      <c r="A241" t="s">
        <v>367</v>
      </c>
      <c r="B241" t="s">
        <v>38</v>
      </c>
      <c r="C241" s="24">
        <v>45445</v>
      </c>
      <c r="D241" t="s">
        <v>57</v>
      </c>
      <c r="E241" t="s">
        <v>504</v>
      </c>
      <c r="F241">
        <v>84</v>
      </c>
      <c r="G241">
        <v>897</v>
      </c>
      <c r="H241">
        <v>85</v>
      </c>
      <c r="I241">
        <v>588</v>
      </c>
      <c r="J241">
        <v>8</v>
      </c>
      <c r="K241">
        <v>12</v>
      </c>
      <c r="L241" t="s">
        <v>505</v>
      </c>
      <c r="N241">
        <v>1.8129251700680271</v>
      </c>
    </row>
    <row r="242" spans="1:14" x14ac:dyDescent="0.3">
      <c r="A242" t="s">
        <v>141</v>
      </c>
      <c r="B242" t="s">
        <v>18</v>
      </c>
      <c r="C242" s="24">
        <v>45739</v>
      </c>
      <c r="D242" t="s">
        <v>14</v>
      </c>
      <c r="E242" t="s">
        <v>515</v>
      </c>
      <c r="F242">
        <v>4453</v>
      </c>
      <c r="G242">
        <v>111</v>
      </c>
      <c r="H242">
        <v>420</v>
      </c>
      <c r="I242">
        <v>31171</v>
      </c>
      <c r="J242">
        <v>30565</v>
      </c>
      <c r="K242">
        <v>23</v>
      </c>
      <c r="L242" t="s">
        <v>498</v>
      </c>
      <c r="N242">
        <v>0.15989220750056141</v>
      </c>
    </row>
    <row r="243" spans="1:14" x14ac:dyDescent="0.3">
      <c r="A243" t="s">
        <v>289</v>
      </c>
      <c r="B243" t="s">
        <v>18</v>
      </c>
      <c r="C243" s="24">
        <v>45573</v>
      </c>
      <c r="D243" t="s">
        <v>53</v>
      </c>
      <c r="E243" t="s">
        <v>512</v>
      </c>
      <c r="F243">
        <v>1814</v>
      </c>
      <c r="G243">
        <v>653</v>
      </c>
      <c r="H243">
        <v>363</v>
      </c>
      <c r="I243">
        <v>25396</v>
      </c>
      <c r="J243">
        <v>25286</v>
      </c>
      <c r="K243">
        <v>39</v>
      </c>
      <c r="L243" t="s">
        <v>494</v>
      </c>
      <c r="M243" t="s">
        <v>495</v>
      </c>
      <c r="N243">
        <v>0.11143487163332809</v>
      </c>
    </row>
    <row r="244" spans="1:14" x14ac:dyDescent="0.3">
      <c r="A244" t="s">
        <v>289</v>
      </c>
      <c r="B244" t="s">
        <v>18</v>
      </c>
      <c r="C244" s="24">
        <v>45573</v>
      </c>
      <c r="D244" t="s">
        <v>53</v>
      </c>
      <c r="E244" t="s">
        <v>512</v>
      </c>
      <c r="F244">
        <v>1814</v>
      </c>
      <c r="G244">
        <v>653</v>
      </c>
      <c r="H244">
        <v>363</v>
      </c>
      <c r="I244">
        <v>25396</v>
      </c>
      <c r="J244">
        <v>25286</v>
      </c>
      <c r="K244">
        <v>39</v>
      </c>
      <c r="L244" t="s">
        <v>527</v>
      </c>
      <c r="M244" t="s">
        <v>495</v>
      </c>
      <c r="N244">
        <v>0.11143487163332809</v>
      </c>
    </row>
    <row r="245" spans="1:14" x14ac:dyDescent="0.3">
      <c r="A245" t="s">
        <v>244</v>
      </c>
      <c r="B245" t="s">
        <v>23</v>
      </c>
      <c r="C245" s="24">
        <v>45608</v>
      </c>
      <c r="D245" t="s">
        <v>24</v>
      </c>
      <c r="E245" t="s">
        <v>521</v>
      </c>
      <c r="F245">
        <v>3338</v>
      </c>
      <c r="G245">
        <v>277</v>
      </c>
      <c r="H245">
        <v>118</v>
      </c>
      <c r="I245">
        <v>60084</v>
      </c>
      <c r="J245">
        <v>59842</v>
      </c>
      <c r="K245">
        <v>252</v>
      </c>
      <c r="L245" t="s">
        <v>498</v>
      </c>
      <c r="N245">
        <v>6.2129685107516146E-2</v>
      </c>
    </row>
    <row r="246" spans="1:14" x14ac:dyDescent="0.3">
      <c r="A246" t="s">
        <v>241</v>
      </c>
      <c r="B246" t="s">
        <v>18</v>
      </c>
      <c r="C246" s="24">
        <v>45790</v>
      </c>
      <c r="D246" t="s">
        <v>24</v>
      </c>
      <c r="E246" t="s">
        <v>511</v>
      </c>
      <c r="F246">
        <v>602</v>
      </c>
      <c r="G246">
        <v>594</v>
      </c>
      <c r="H246">
        <v>156</v>
      </c>
      <c r="I246">
        <v>4214</v>
      </c>
      <c r="J246">
        <v>3363</v>
      </c>
      <c r="K246">
        <v>164</v>
      </c>
      <c r="L246" t="s">
        <v>498</v>
      </c>
      <c r="M246" t="s">
        <v>503</v>
      </c>
      <c r="N246">
        <v>0.32083531086853345</v>
      </c>
    </row>
    <row r="247" spans="1:14" x14ac:dyDescent="0.3">
      <c r="A247" t="s">
        <v>173</v>
      </c>
      <c r="B247" t="s">
        <v>23</v>
      </c>
      <c r="C247" s="24">
        <v>45463</v>
      </c>
      <c r="D247" t="s">
        <v>20</v>
      </c>
      <c r="E247" t="s">
        <v>508</v>
      </c>
      <c r="F247">
        <v>4672</v>
      </c>
      <c r="G247">
        <v>325</v>
      </c>
      <c r="H247">
        <v>32</v>
      </c>
      <c r="I247">
        <v>88768</v>
      </c>
      <c r="J247">
        <v>87833</v>
      </c>
      <c r="K247">
        <v>118</v>
      </c>
      <c r="L247" t="s">
        <v>505</v>
      </c>
      <c r="N247">
        <v>5.6653298485940883E-2</v>
      </c>
    </row>
    <row r="248" spans="1:14" x14ac:dyDescent="0.3">
      <c r="A248" t="s">
        <v>299</v>
      </c>
      <c r="B248" t="s">
        <v>38</v>
      </c>
      <c r="C248" s="24">
        <v>45511</v>
      </c>
      <c r="D248" t="s">
        <v>20</v>
      </c>
      <c r="E248" t="s">
        <v>518</v>
      </c>
      <c r="F248">
        <v>1741</v>
      </c>
      <c r="G248">
        <v>164</v>
      </c>
      <c r="H248">
        <v>318</v>
      </c>
      <c r="I248">
        <v>8705</v>
      </c>
      <c r="J248">
        <v>8272</v>
      </c>
      <c r="K248">
        <v>121</v>
      </c>
      <c r="L248" t="s">
        <v>498</v>
      </c>
      <c r="N248">
        <v>0.25537047673750718</v>
      </c>
    </row>
    <row r="249" spans="1:14" x14ac:dyDescent="0.3">
      <c r="A249" t="s">
        <v>250</v>
      </c>
      <c r="B249" t="s">
        <v>38</v>
      </c>
      <c r="C249" s="24">
        <v>45455</v>
      </c>
      <c r="D249" t="s">
        <v>45</v>
      </c>
      <c r="E249" t="s">
        <v>520</v>
      </c>
      <c r="F249">
        <v>246</v>
      </c>
      <c r="G249">
        <v>149</v>
      </c>
      <c r="H249">
        <v>130</v>
      </c>
      <c r="I249">
        <v>4674</v>
      </c>
      <c r="J249">
        <v>4390</v>
      </c>
      <c r="K249">
        <v>217</v>
      </c>
      <c r="L249" t="s">
        <v>494</v>
      </c>
      <c r="M249" t="s">
        <v>503</v>
      </c>
      <c r="N249">
        <v>0.11232349165596919</v>
      </c>
    </row>
    <row r="250" spans="1:14" x14ac:dyDescent="0.3">
      <c r="A250" t="s">
        <v>375</v>
      </c>
      <c r="B250" t="s">
        <v>38</v>
      </c>
      <c r="C250" s="24">
        <v>45474</v>
      </c>
      <c r="D250" t="s">
        <v>57</v>
      </c>
      <c r="E250" t="s">
        <v>504</v>
      </c>
      <c r="F250">
        <v>4808</v>
      </c>
      <c r="G250">
        <v>772</v>
      </c>
      <c r="H250">
        <v>320</v>
      </c>
      <c r="I250">
        <v>72120</v>
      </c>
      <c r="J250">
        <v>71696</v>
      </c>
      <c r="K250">
        <v>195</v>
      </c>
      <c r="L250" t="s">
        <v>505</v>
      </c>
      <c r="M250" t="s">
        <v>495</v>
      </c>
      <c r="N250">
        <v>8.1808097615085965E-2</v>
      </c>
    </row>
    <row r="251" spans="1:14" x14ac:dyDescent="0.3">
      <c r="A251" t="s">
        <v>348</v>
      </c>
      <c r="B251" t="s">
        <v>38</v>
      </c>
      <c r="C251" s="24">
        <v>45476</v>
      </c>
      <c r="D251" t="s">
        <v>20</v>
      </c>
      <c r="E251" t="s">
        <v>518</v>
      </c>
      <c r="F251">
        <v>4799</v>
      </c>
      <c r="G251">
        <v>694</v>
      </c>
      <c r="H251">
        <v>289</v>
      </c>
      <c r="I251">
        <v>43191</v>
      </c>
      <c r="J251">
        <v>42228</v>
      </c>
      <c r="K251">
        <v>118</v>
      </c>
      <c r="L251" t="s">
        <v>498</v>
      </c>
      <c r="N251">
        <v>0.13387048227640017</v>
      </c>
    </row>
    <row r="252" spans="1:14" x14ac:dyDescent="0.3">
      <c r="A252" t="s">
        <v>224</v>
      </c>
      <c r="B252" t="s">
        <v>18</v>
      </c>
      <c r="C252" s="24">
        <v>45488</v>
      </c>
      <c r="D252" t="s">
        <v>53</v>
      </c>
      <c r="E252" t="s">
        <v>512</v>
      </c>
      <c r="F252">
        <v>3663</v>
      </c>
      <c r="G252">
        <v>17</v>
      </c>
      <c r="H252">
        <v>295</v>
      </c>
      <c r="I252">
        <v>51282</v>
      </c>
      <c r="J252">
        <v>50567</v>
      </c>
      <c r="K252">
        <v>84</v>
      </c>
      <c r="L252" t="s">
        <v>505</v>
      </c>
      <c r="M252" t="s">
        <v>503</v>
      </c>
      <c r="N252">
        <v>7.7512577512577507E-2</v>
      </c>
    </row>
    <row r="253" spans="1:14" x14ac:dyDescent="0.3">
      <c r="A253" t="s">
        <v>378</v>
      </c>
      <c r="B253" t="s">
        <v>38</v>
      </c>
      <c r="C253" s="24">
        <v>45778</v>
      </c>
      <c r="D253" t="s">
        <v>45</v>
      </c>
      <c r="E253" t="s">
        <v>520</v>
      </c>
      <c r="F253">
        <v>1430</v>
      </c>
      <c r="G253">
        <v>376</v>
      </c>
      <c r="H253">
        <v>33</v>
      </c>
      <c r="I253">
        <v>21450</v>
      </c>
      <c r="J253">
        <v>20509</v>
      </c>
      <c r="K253">
        <v>251</v>
      </c>
      <c r="L253" t="s">
        <v>494</v>
      </c>
      <c r="M253" t="s">
        <v>495</v>
      </c>
      <c r="N253">
        <v>8.5734265734265735E-2</v>
      </c>
    </row>
    <row r="254" spans="1:14" x14ac:dyDescent="0.3">
      <c r="A254" t="s">
        <v>63</v>
      </c>
      <c r="B254" t="s">
        <v>23</v>
      </c>
      <c r="C254" s="24">
        <v>45776</v>
      </c>
      <c r="D254" t="s">
        <v>57</v>
      </c>
      <c r="E254" t="s">
        <v>523</v>
      </c>
      <c r="F254">
        <v>249</v>
      </c>
      <c r="G254">
        <v>592</v>
      </c>
      <c r="H254">
        <v>230</v>
      </c>
      <c r="I254">
        <v>1494</v>
      </c>
      <c r="J254">
        <v>1044</v>
      </c>
      <c r="K254">
        <v>201</v>
      </c>
      <c r="L254" t="s">
        <v>505</v>
      </c>
      <c r="M254" t="s">
        <v>506</v>
      </c>
      <c r="N254">
        <v>0.7168674698795181</v>
      </c>
    </row>
    <row r="255" spans="1:14" x14ac:dyDescent="0.3">
      <c r="A255" t="s">
        <v>294</v>
      </c>
      <c r="B255" t="s">
        <v>18</v>
      </c>
      <c r="C255" s="24">
        <v>45724</v>
      </c>
      <c r="D255" t="s">
        <v>24</v>
      </c>
      <c r="E255" t="s">
        <v>511</v>
      </c>
      <c r="F255">
        <v>2382</v>
      </c>
      <c r="G255">
        <v>265</v>
      </c>
      <c r="H255">
        <v>134</v>
      </c>
      <c r="I255">
        <v>38112</v>
      </c>
      <c r="J255">
        <v>37437</v>
      </c>
      <c r="K255">
        <v>249</v>
      </c>
      <c r="L255" t="s">
        <v>494</v>
      </c>
      <c r="M255" t="s">
        <v>506</v>
      </c>
      <c r="N255">
        <v>7.2969143576826198E-2</v>
      </c>
    </row>
    <row r="256" spans="1:14" x14ac:dyDescent="0.3">
      <c r="A256" t="s">
        <v>377</v>
      </c>
      <c r="B256" t="s">
        <v>18</v>
      </c>
      <c r="C256" s="24">
        <v>45444</v>
      </c>
      <c r="D256" t="s">
        <v>45</v>
      </c>
      <c r="E256" t="s">
        <v>510</v>
      </c>
      <c r="F256">
        <v>1272</v>
      </c>
      <c r="G256">
        <v>465</v>
      </c>
      <c r="H256">
        <v>99</v>
      </c>
      <c r="I256">
        <v>24168</v>
      </c>
      <c r="J256">
        <v>23719</v>
      </c>
      <c r="K256">
        <v>42</v>
      </c>
      <c r="L256" t="s">
        <v>498</v>
      </c>
      <c r="N256">
        <v>7.5968222442899705E-2</v>
      </c>
    </row>
    <row r="257" spans="1:14" x14ac:dyDescent="0.3">
      <c r="A257" t="s">
        <v>144</v>
      </c>
      <c r="B257" t="s">
        <v>18</v>
      </c>
      <c r="C257" s="24">
        <v>45648</v>
      </c>
      <c r="D257" t="s">
        <v>24</v>
      </c>
      <c r="E257" t="s">
        <v>511</v>
      </c>
      <c r="F257">
        <v>3196</v>
      </c>
      <c r="G257">
        <v>941</v>
      </c>
      <c r="H257">
        <v>376</v>
      </c>
      <c r="I257">
        <v>35156</v>
      </c>
      <c r="J257">
        <v>34444</v>
      </c>
      <c r="K257">
        <v>241</v>
      </c>
      <c r="L257" t="s">
        <v>498</v>
      </c>
      <c r="M257" t="s">
        <v>503</v>
      </c>
      <c r="N257">
        <v>0.1283706906360223</v>
      </c>
    </row>
    <row r="258" spans="1:14" x14ac:dyDescent="0.3">
      <c r="A258" t="s">
        <v>177</v>
      </c>
      <c r="B258" t="s">
        <v>18</v>
      </c>
      <c r="C258" s="24">
        <v>45523</v>
      </c>
      <c r="D258" t="s">
        <v>45</v>
      </c>
      <c r="E258" t="s">
        <v>510</v>
      </c>
      <c r="F258">
        <v>1257</v>
      </c>
      <c r="G258">
        <v>19</v>
      </c>
      <c r="H258">
        <v>351</v>
      </c>
      <c r="I258">
        <v>12570</v>
      </c>
      <c r="J258">
        <v>11660</v>
      </c>
      <c r="K258">
        <v>194</v>
      </c>
      <c r="L258" t="s">
        <v>494</v>
      </c>
      <c r="M258" t="s">
        <v>499</v>
      </c>
      <c r="N258">
        <v>0.12943516308671441</v>
      </c>
    </row>
    <row r="259" spans="1:14" x14ac:dyDescent="0.3">
      <c r="A259" t="s">
        <v>177</v>
      </c>
      <c r="B259" t="s">
        <v>18</v>
      </c>
      <c r="C259" s="24">
        <v>45523</v>
      </c>
      <c r="D259" t="s">
        <v>45</v>
      </c>
      <c r="E259" t="s">
        <v>510</v>
      </c>
      <c r="F259">
        <v>1257</v>
      </c>
      <c r="G259">
        <v>19</v>
      </c>
      <c r="H259">
        <v>351</v>
      </c>
      <c r="I259">
        <v>12570</v>
      </c>
      <c r="J259">
        <v>11660</v>
      </c>
      <c r="K259">
        <v>194</v>
      </c>
      <c r="L259" t="s">
        <v>496</v>
      </c>
      <c r="M259" t="s">
        <v>499</v>
      </c>
      <c r="N259">
        <v>0.12943516308671441</v>
      </c>
    </row>
    <row r="260" spans="1:14" x14ac:dyDescent="0.3">
      <c r="A260" t="s">
        <v>177</v>
      </c>
      <c r="B260" t="s">
        <v>18</v>
      </c>
      <c r="C260" s="24">
        <v>45523</v>
      </c>
      <c r="D260" t="s">
        <v>45</v>
      </c>
      <c r="E260" t="s">
        <v>510</v>
      </c>
      <c r="F260">
        <v>1257</v>
      </c>
      <c r="G260">
        <v>19</v>
      </c>
      <c r="H260">
        <v>351</v>
      </c>
      <c r="I260">
        <v>12570</v>
      </c>
      <c r="J260">
        <v>11660</v>
      </c>
      <c r="K260">
        <v>194</v>
      </c>
      <c r="L260" t="s">
        <v>505</v>
      </c>
      <c r="M260" t="s">
        <v>499</v>
      </c>
      <c r="N260">
        <v>0.12943516308671441</v>
      </c>
    </row>
    <row r="261" spans="1:14" x14ac:dyDescent="0.3">
      <c r="A261" t="s">
        <v>148</v>
      </c>
      <c r="B261" t="s">
        <v>38</v>
      </c>
      <c r="C261" s="24">
        <v>45587</v>
      </c>
      <c r="D261" t="s">
        <v>57</v>
      </c>
      <c r="E261" t="s">
        <v>504</v>
      </c>
      <c r="F261">
        <v>3770</v>
      </c>
      <c r="G261">
        <v>917</v>
      </c>
      <c r="H261">
        <v>129</v>
      </c>
      <c r="I261">
        <v>71630</v>
      </c>
      <c r="J261">
        <v>71322</v>
      </c>
      <c r="K261">
        <v>76</v>
      </c>
      <c r="L261" t="s">
        <v>494</v>
      </c>
      <c r="M261" t="s">
        <v>495</v>
      </c>
      <c r="N261">
        <v>6.7234398994834563E-2</v>
      </c>
    </row>
    <row r="262" spans="1:14" x14ac:dyDescent="0.3">
      <c r="A262" t="s">
        <v>214</v>
      </c>
      <c r="B262" t="s">
        <v>23</v>
      </c>
      <c r="C262" s="24">
        <v>45489</v>
      </c>
      <c r="D262" t="s">
        <v>45</v>
      </c>
      <c r="E262" t="s">
        <v>497</v>
      </c>
      <c r="F262">
        <v>4725</v>
      </c>
      <c r="G262">
        <v>400</v>
      </c>
      <c r="H262">
        <v>362</v>
      </c>
      <c r="I262">
        <v>75600</v>
      </c>
      <c r="J262">
        <v>74927</v>
      </c>
      <c r="K262">
        <v>43</v>
      </c>
      <c r="L262" t="s">
        <v>494</v>
      </c>
      <c r="M262" t="s">
        <v>506</v>
      </c>
      <c r="N262">
        <v>7.2579365079365077E-2</v>
      </c>
    </row>
    <row r="263" spans="1:14" x14ac:dyDescent="0.3">
      <c r="A263" t="s">
        <v>133</v>
      </c>
      <c r="B263" t="s">
        <v>501</v>
      </c>
      <c r="C263" s="24">
        <v>45712</v>
      </c>
      <c r="D263" t="s">
        <v>45</v>
      </c>
      <c r="E263" t="s">
        <v>519</v>
      </c>
      <c r="F263">
        <v>4188</v>
      </c>
      <c r="G263">
        <v>942</v>
      </c>
      <c r="H263">
        <v>118</v>
      </c>
      <c r="I263">
        <v>20940</v>
      </c>
      <c r="J263">
        <v>20471</v>
      </c>
      <c r="K263">
        <v>102</v>
      </c>
      <c r="L263" t="s">
        <v>494</v>
      </c>
      <c r="N263">
        <v>0.25062082139446035</v>
      </c>
    </row>
    <row r="264" spans="1:14" x14ac:dyDescent="0.3">
      <c r="A264" t="s">
        <v>99</v>
      </c>
      <c r="B264" t="s">
        <v>23</v>
      </c>
      <c r="C264" s="24">
        <v>45530</v>
      </c>
      <c r="D264" t="s">
        <v>20</v>
      </c>
      <c r="E264" t="s">
        <v>508</v>
      </c>
      <c r="F264">
        <v>929</v>
      </c>
      <c r="G264">
        <v>192</v>
      </c>
      <c r="H264">
        <v>322</v>
      </c>
      <c r="I264">
        <v>16722</v>
      </c>
      <c r="J264">
        <v>15996</v>
      </c>
      <c r="K264">
        <v>145</v>
      </c>
      <c r="L264" t="s">
        <v>505</v>
      </c>
      <c r="M264" t="s">
        <v>503</v>
      </c>
      <c r="N264">
        <v>8.6293505561535699E-2</v>
      </c>
    </row>
    <row r="265" spans="1:14" x14ac:dyDescent="0.3">
      <c r="A265" t="s">
        <v>99</v>
      </c>
      <c r="B265" t="s">
        <v>23</v>
      </c>
      <c r="C265" s="24">
        <v>45530</v>
      </c>
      <c r="D265" t="s">
        <v>20</v>
      </c>
      <c r="E265" t="s">
        <v>508</v>
      </c>
      <c r="F265">
        <v>929</v>
      </c>
      <c r="G265">
        <v>192</v>
      </c>
      <c r="H265">
        <v>322</v>
      </c>
      <c r="I265">
        <v>16722</v>
      </c>
      <c r="J265">
        <v>15996</v>
      </c>
      <c r="K265">
        <v>145</v>
      </c>
      <c r="L265" t="s">
        <v>498</v>
      </c>
      <c r="M265" t="s">
        <v>503</v>
      </c>
      <c r="N265">
        <v>8.6293505561535699E-2</v>
      </c>
    </row>
    <row r="266" spans="1:14" x14ac:dyDescent="0.3">
      <c r="A266" t="s">
        <v>99</v>
      </c>
      <c r="B266" t="s">
        <v>23</v>
      </c>
      <c r="C266" s="24">
        <v>45530</v>
      </c>
      <c r="D266" t="s">
        <v>20</v>
      </c>
      <c r="E266" t="s">
        <v>508</v>
      </c>
      <c r="F266">
        <v>929</v>
      </c>
      <c r="G266">
        <v>192</v>
      </c>
      <c r="H266">
        <v>322</v>
      </c>
      <c r="I266">
        <v>16722</v>
      </c>
      <c r="J266">
        <v>15996</v>
      </c>
      <c r="K266">
        <v>145</v>
      </c>
      <c r="L266" t="s">
        <v>496</v>
      </c>
      <c r="M266" t="s">
        <v>503</v>
      </c>
      <c r="N266">
        <v>8.6293505561535699E-2</v>
      </c>
    </row>
    <row r="267" spans="1:14" x14ac:dyDescent="0.3">
      <c r="A267" t="s">
        <v>198</v>
      </c>
      <c r="B267" t="s">
        <v>18</v>
      </c>
      <c r="C267" s="24">
        <v>45675</v>
      </c>
      <c r="D267" t="s">
        <v>57</v>
      </c>
      <c r="E267" t="s">
        <v>514</v>
      </c>
      <c r="F267">
        <v>4321</v>
      </c>
      <c r="G267">
        <v>874</v>
      </c>
      <c r="H267">
        <v>172</v>
      </c>
      <c r="I267">
        <v>30247</v>
      </c>
      <c r="J267">
        <v>29254</v>
      </c>
      <c r="K267">
        <v>122</v>
      </c>
      <c r="L267" t="s">
        <v>498</v>
      </c>
      <c r="M267" t="s">
        <v>506</v>
      </c>
      <c r="N267">
        <v>0.17743908486792079</v>
      </c>
    </row>
    <row r="268" spans="1:14" x14ac:dyDescent="0.3">
      <c r="A268" t="s">
        <v>301</v>
      </c>
      <c r="B268" t="s">
        <v>18</v>
      </c>
      <c r="C268" s="24">
        <v>45480</v>
      </c>
      <c r="D268" t="s">
        <v>53</v>
      </c>
      <c r="E268" t="s">
        <v>512</v>
      </c>
      <c r="F268">
        <v>4767</v>
      </c>
      <c r="G268">
        <v>190</v>
      </c>
      <c r="H268">
        <v>340</v>
      </c>
      <c r="I268">
        <v>28602</v>
      </c>
      <c r="J268">
        <v>28044</v>
      </c>
      <c r="K268">
        <v>210</v>
      </c>
      <c r="L268" t="s">
        <v>505</v>
      </c>
      <c r="M268" t="s">
        <v>503</v>
      </c>
      <c r="N268">
        <v>0.18519683938186141</v>
      </c>
    </row>
    <row r="269" spans="1:14" x14ac:dyDescent="0.3">
      <c r="A269" t="s">
        <v>316</v>
      </c>
      <c r="B269" t="s">
        <v>23</v>
      </c>
      <c r="C269" s="24">
        <v>45722</v>
      </c>
      <c r="D269" t="s">
        <v>24</v>
      </c>
      <c r="E269" t="s">
        <v>521</v>
      </c>
      <c r="F269">
        <v>3592</v>
      </c>
      <c r="G269">
        <v>911</v>
      </c>
      <c r="H269">
        <v>375</v>
      </c>
      <c r="I269">
        <v>50288</v>
      </c>
      <c r="J269">
        <v>49490</v>
      </c>
      <c r="K269">
        <v>32</v>
      </c>
      <c r="L269" t="s">
        <v>494</v>
      </c>
      <c r="M269" t="s">
        <v>506</v>
      </c>
      <c r="N269">
        <v>9.7001272669424113E-2</v>
      </c>
    </row>
    <row r="270" spans="1:14" x14ac:dyDescent="0.3">
      <c r="A270" t="s">
        <v>109</v>
      </c>
      <c r="B270" t="s">
        <v>501</v>
      </c>
      <c r="C270" s="24">
        <v>45590</v>
      </c>
      <c r="D270" t="s">
        <v>14</v>
      </c>
      <c r="E270" t="s">
        <v>526</v>
      </c>
      <c r="F270">
        <v>4661</v>
      </c>
      <c r="G270">
        <v>935</v>
      </c>
      <c r="H270">
        <v>433</v>
      </c>
      <c r="I270">
        <v>23305</v>
      </c>
      <c r="J270">
        <v>22583</v>
      </c>
      <c r="K270">
        <v>63</v>
      </c>
      <c r="L270" t="s">
        <v>494</v>
      </c>
      <c r="M270" t="s">
        <v>503</v>
      </c>
      <c r="N270">
        <v>0.25869984981763572</v>
      </c>
    </row>
    <row r="271" spans="1:14" x14ac:dyDescent="0.3">
      <c r="A271" t="s">
        <v>254</v>
      </c>
      <c r="B271" t="s">
        <v>18</v>
      </c>
      <c r="C271" s="24">
        <v>45669</v>
      </c>
      <c r="D271" t="s">
        <v>53</v>
      </c>
      <c r="E271" t="s">
        <v>512</v>
      </c>
      <c r="F271">
        <v>4134</v>
      </c>
      <c r="G271">
        <v>824</v>
      </c>
      <c r="H271">
        <v>99</v>
      </c>
      <c r="I271">
        <v>41340</v>
      </c>
      <c r="J271">
        <v>41050</v>
      </c>
      <c r="K271">
        <v>177</v>
      </c>
      <c r="L271" t="s">
        <v>505</v>
      </c>
      <c r="M271" t="s">
        <v>495</v>
      </c>
      <c r="N271">
        <v>0.12232704402515723</v>
      </c>
    </row>
    <row r="272" spans="1:14" x14ac:dyDescent="0.3">
      <c r="A272" t="s">
        <v>257</v>
      </c>
      <c r="B272" t="s">
        <v>18</v>
      </c>
      <c r="C272" s="24">
        <v>45576</v>
      </c>
      <c r="D272" t="s">
        <v>24</v>
      </c>
      <c r="E272" t="s">
        <v>511</v>
      </c>
      <c r="F272">
        <v>400</v>
      </c>
      <c r="G272">
        <v>680</v>
      </c>
      <c r="H272">
        <v>434</v>
      </c>
      <c r="I272">
        <v>6400</v>
      </c>
      <c r="J272">
        <v>5472</v>
      </c>
      <c r="K272">
        <v>160</v>
      </c>
      <c r="L272" t="s">
        <v>494</v>
      </c>
      <c r="M272" t="s">
        <v>499</v>
      </c>
      <c r="N272">
        <v>0.23656250000000001</v>
      </c>
    </row>
    <row r="273" spans="1:14" x14ac:dyDescent="0.3">
      <c r="A273" t="s">
        <v>86</v>
      </c>
      <c r="B273" t="s">
        <v>18</v>
      </c>
      <c r="C273" s="24">
        <v>45531</v>
      </c>
      <c r="D273" t="s">
        <v>53</v>
      </c>
      <c r="E273" t="s">
        <v>512</v>
      </c>
      <c r="F273">
        <v>3960</v>
      </c>
      <c r="G273">
        <v>266</v>
      </c>
      <c r="H273">
        <v>8</v>
      </c>
      <c r="I273">
        <v>35640</v>
      </c>
      <c r="J273">
        <v>34850</v>
      </c>
      <c r="K273">
        <v>208</v>
      </c>
      <c r="L273" t="s">
        <v>494</v>
      </c>
      <c r="N273">
        <v>0.11879910213243547</v>
      </c>
    </row>
    <row r="274" spans="1:14" x14ac:dyDescent="0.3">
      <c r="A274" t="s">
        <v>86</v>
      </c>
      <c r="B274" t="s">
        <v>18</v>
      </c>
      <c r="C274" s="24">
        <v>45531</v>
      </c>
      <c r="D274" t="s">
        <v>53</v>
      </c>
      <c r="E274" t="s">
        <v>512</v>
      </c>
      <c r="F274">
        <v>3960</v>
      </c>
      <c r="G274">
        <v>266</v>
      </c>
      <c r="H274">
        <v>8</v>
      </c>
      <c r="I274">
        <v>35640</v>
      </c>
      <c r="J274">
        <v>34850</v>
      </c>
      <c r="K274">
        <v>208</v>
      </c>
      <c r="L274" t="s">
        <v>505</v>
      </c>
      <c r="N274">
        <v>0.11879910213243547</v>
      </c>
    </row>
    <row r="275" spans="1:14" x14ac:dyDescent="0.3">
      <c r="A275" t="s">
        <v>86</v>
      </c>
      <c r="B275" t="s">
        <v>18</v>
      </c>
      <c r="C275" s="24">
        <v>45531</v>
      </c>
      <c r="D275" t="s">
        <v>53</v>
      </c>
      <c r="E275" t="s">
        <v>512</v>
      </c>
      <c r="F275">
        <v>3960</v>
      </c>
      <c r="G275">
        <v>266</v>
      </c>
      <c r="H275">
        <v>8</v>
      </c>
      <c r="I275">
        <v>35640</v>
      </c>
      <c r="J275">
        <v>34850</v>
      </c>
      <c r="K275">
        <v>208</v>
      </c>
      <c r="L275" t="s">
        <v>500</v>
      </c>
      <c r="N275">
        <v>0.11879910213243547</v>
      </c>
    </row>
    <row r="276" spans="1:14" x14ac:dyDescent="0.3">
      <c r="A276" t="s">
        <v>371</v>
      </c>
      <c r="B276" t="s">
        <v>18</v>
      </c>
      <c r="C276" s="24">
        <v>45690</v>
      </c>
      <c r="D276" t="s">
        <v>57</v>
      </c>
      <c r="E276" t="s">
        <v>514</v>
      </c>
      <c r="F276">
        <v>886</v>
      </c>
      <c r="G276">
        <v>126</v>
      </c>
      <c r="H276">
        <v>153</v>
      </c>
      <c r="I276">
        <v>4430</v>
      </c>
      <c r="J276">
        <v>4037</v>
      </c>
      <c r="K276">
        <v>212</v>
      </c>
      <c r="L276" t="s">
        <v>505</v>
      </c>
      <c r="N276">
        <v>0.26297968397291194</v>
      </c>
    </row>
    <row r="277" spans="1:14" x14ac:dyDescent="0.3">
      <c r="A277" t="s">
        <v>193</v>
      </c>
      <c r="B277" t="s">
        <v>23</v>
      </c>
      <c r="C277" s="24">
        <v>45491</v>
      </c>
      <c r="D277" t="s">
        <v>24</v>
      </c>
      <c r="E277" t="s">
        <v>521</v>
      </c>
      <c r="F277">
        <v>827</v>
      </c>
      <c r="G277">
        <v>77</v>
      </c>
      <c r="H277">
        <v>402</v>
      </c>
      <c r="I277">
        <v>14886</v>
      </c>
      <c r="J277">
        <v>14129</v>
      </c>
      <c r="K277">
        <v>254</v>
      </c>
      <c r="L277" t="s">
        <v>505</v>
      </c>
      <c r="M277" t="s">
        <v>499</v>
      </c>
      <c r="N277">
        <v>8.7733440816874911E-2</v>
      </c>
    </row>
    <row r="278" spans="1:14" x14ac:dyDescent="0.3">
      <c r="A278" t="s">
        <v>152</v>
      </c>
      <c r="B278" t="s">
        <v>18</v>
      </c>
      <c r="C278" s="24">
        <v>45465</v>
      </c>
      <c r="D278" t="s">
        <v>53</v>
      </c>
      <c r="E278" t="s">
        <v>512</v>
      </c>
      <c r="F278">
        <v>3813</v>
      </c>
      <c r="G278">
        <v>935</v>
      </c>
      <c r="H278">
        <v>274</v>
      </c>
      <c r="I278">
        <v>68634</v>
      </c>
      <c r="J278">
        <v>68488</v>
      </c>
      <c r="K278">
        <v>251</v>
      </c>
      <c r="L278" t="s">
        <v>494</v>
      </c>
      <c r="N278">
        <v>7.3170731707317069E-2</v>
      </c>
    </row>
    <row r="279" spans="1:14" x14ac:dyDescent="0.3">
      <c r="A279" t="s">
        <v>89</v>
      </c>
      <c r="B279" t="s">
        <v>38</v>
      </c>
      <c r="C279" s="24">
        <v>45743</v>
      </c>
      <c r="D279" t="s">
        <v>20</v>
      </c>
      <c r="E279" t="s">
        <v>518</v>
      </c>
      <c r="F279">
        <v>1377</v>
      </c>
      <c r="G279">
        <v>796</v>
      </c>
      <c r="H279">
        <v>387</v>
      </c>
      <c r="I279">
        <v>22032</v>
      </c>
      <c r="J279">
        <v>21869</v>
      </c>
      <c r="K279">
        <v>189</v>
      </c>
      <c r="L279" t="s">
        <v>494</v>
      </c>
      <c r="N279">
        <v>0.11619462599854757</v>
      </c>
    </row>
    <row r="280" spans="1:14" x14ac:dyDescent="0.3">
      <c r="A280" t="s">
        <v>75</v>
      </c>
      <c r="B280" t="s">
        <v>18</v>
      </c>
      <c r="C280" s="24">
        <v>45775</v>
      </c>
      <c r="D280" t="s">
        <v>20</v>
      </c>
      <c r="E280" t="s">
        <v>507</v>
      </c>
      <c r="F280">
        <v>2089</v>
      </c>
      <c r="G280">
        <v>476</v>
      </c>
      <c r="H280">
        <v>69</v>
      </c>
      <c r="I280">
        <v>16712</v>
      </c>
      <c r="J280">
        <v>16309</v>
      </c>
      <c r="K280">
        <v>64</v>
      </c>
      <c r="L280" t="s">
        <v>494</v>
      </c>
      <c r="M280" t="s">
        <v>503</v>
      </c>
      <c r="N280">
        <v>0.15761129727142173</v>
      </c>
    </row>
    <row r="281" spans="1:14" x14ac:dyDescent="0.3">
      <c r="A281" t="s">
        <v>347</v>
      </c>
      <c r="B281" t="s">
        <v>23</v>
      </c>
      <c r="C281" s="24">
        <v>45507</v>
      </c>
      <c r="D281" t="s">
        <v>53</v>
      </c>
      <c r="E281" t="s">
        <v>493</v>
      </c>
      <c r="F281">
        <v>3791</v>
      </c>
      <c r="G281">
        <v>593</v>
      </c>
      <c r="H281">
        <v>228</v>
      </c>
      <c r="I281">
        <v>53074</v>
      </c>
      <c r="J281">
        <v>52613</v>
      </c>
      <c r="K281">
        <v>205</v>
      </c>
      <c r="L281" t="s">
        <v>505</v>
      </c>
      <c r="N281">
        <v>8.6897539284772202E-2</v>
      </c>
    </row>
    <row r="282" spans="1:14" x14ac:dyDescent="0.3">
      <c r="A282" t="s">
        <v>236</v>
      </c>
      <c r="B282" t="s">
        <v>23</v>
      </c>
      <c r="C282" s="24">
        <v>45671</v>
      </c>
      <c r="D282" t="s">
        <v>24</v>
      </c>
      <c r="E282" t="s">
        <v>521</v>
      </c>
      <c r="F282">
        <v>2692</v>
      </c>
      <c r="G282">
        <v>115</v>
      </c>
      <c r="H282">
        <v>64</v>
      </c>
      <c r="I282">
        <v>21536</v>
      </c>
      <c r="J282">
        <v>21120</v>
      </c>
      <c r="K282">
        <v>224</v>
      </c>
      <c r="L282" t="s">
        <v>494</v>
      </c>
      <c r="M282" t="s">
        <v>499</v>
      </c>
      <c r="N282">
        <v>0.13331166419019316</v>
      </c>
    </row>
    <row r="283" spans="1:14" x14ac:dyDescent="0.3">
      <c r="A283" t="s">
        <v>353</v>
      </c>
      <c r="B283" t="s">
        <v>18</v>
      </c>
      <c r="C283" s="24">
        <v>45750</v>
      </c>
      <c r="D283" t="s">
        <v>57</v>
      </c>
      <c r="E283" t="s">
        <v>514</v>
      </c>
      <c r="F283">
        <v>3767</v>
      </c>
      <c r="G283">
        <v>514</v>
      </c>
      <c r="H283">
        <v>238</v>
      </c>
      <c r="I283">
        <v>37670</v>
      </c>
      <c r="J283">
        <v>36807</v>
      </c>
      <c r="K283">
        <v>226</v>
      </c>
      <c r="L283" t="s">
        <v>494</v>
      </c>
      <c r="M283" t="s">
        <v>506</v>
      </c>
      <c r="N283">
        <v>0.11996283514733209</v>
      </c>
    </row>
    <row r="284" spans="1:14" x14ac:dyDescent="0.3">
      <c r="A284" t="s">
        <v>191</v>
      </c>
      <c r="B284" t="s">
        <v>501</v>
      </c>
      <c r="C284" s="24">
        <v>45553</v>
      </c>
      <c r="D284" t="s">
        <v>20</v>
      </c>
      <c r="E284" t="s">
        <v>513</v>
      </c>
      <c r="F284">
        <v>2143</v>
      </c>
      <c r="G284">
        <v>12</v>
      </c>
      <c r="H284">
        <v>204</v>
      </c>
      <c r="I284">
        <v>40717</v>
      </c>
      <c r="J284">
        <v>40125</v>
      </c>
      <c r="K284">
        <v>248</v>
      </c>
      <c r="L284" t="s">
        <v>505</v>
      </c>
      <c r="M284" t="s">
        <v>499</v>
      </c>
      <c r="N284">
        <v>5.7936488444630008E-2</v>
      </c>
    </row>
    <row r="285" spans="1:14" x14ac:dyDescent="0.3">
      <c r="A285" t="s">
        <v>314</v>
      </c>
      <c r="B285" t="s">
        <v>18</v>
      </c>
      <c r="C285" s="24">
        <v>45753</v>
      </c>
      <c r="D285" t="s">
        <v>24</v>
      </c>
      <c r="E285" t="s">
        <v>511</v>
      </c>
      <c r="F285">
        <v>3090</v>
      </c>
      <c r="G285">
        <v>697</v>
      </c>
      <c r="H285">
        <v>164</v>
      </c>
      <c r="I285">
        <v>49440</v>
      </c>
      <c r="J285">
        <v>48524</v>
      </c>
      <c r="K285">
        <v>25</v>
      </c>
      <c r="L285" t="s">
        <v>505</v>
      </c>
      <c r="M285" t="s">
        <v>499</v>
      </c>
      <c r="N285">
        <v>7.9915048543689318E-2</v>
      </c>
    </row>
    <row r="286" spans="1:14" x14ac:dyDescent="0.3">
      <c r="A286" t="s">
        <v>314</v>
      </c>
      <c r="B286" t="s">
        <v>18</v>
      </c>
      <c r="C286" s="24">
        <v>45753</v>
      </c>
      <c r="D286" t="s">
        <v>24</v>
      </c>
      <c r="E286" t="s">
        <v>511</v>
      </c>
      <c r="F286">
        <v>3090</v>
      </c>
      <c r="G286">
        <v>697</v>
      </c>
      <c r="H286">
        <v>164</v>
      </c>
      <c r="I286">
        <v>49440</v>
      </c>
      <c r="J286">
        <v>48524</v>
      </c>
      <c r="K286">
        <v>25</v>
      </c>
      <c r="L286" t="s">
        <v>505</v>
      </c>
      <c r="M286" t="s">
        <v>499</v>
      </c>
      <c r="N286">
        <v>7.9915048543689318E-2</v>
      </c>
    </row>
    <row r="287" spans="1:14" x14ac:dyDescent="0.3">
      <c r="A287" t="s">
        <v>314</v>
      </c>
      <c r="B287" t="s">
        <v>18</v>
      </c>
      <c r="C287" s="24">
        <v>45753</v>
      </c>
      <c r="D287" t="s">
        <v>24</v>
      </c>
      <c r="E287" t="s">
        <v>511</v>
      </c>
      <c r="F287">
        <v>3090</v>
      </c>
      <c r="G287">
        <v>697</v>
      </c>
      <c r="H287">
        <v>164</v>
      </c>
      <c r="I287">
        <v>49440</v>
      </c>
      <c r="J287">
        <v>48524</v>
      </c>
      <c r="K287">
        <v>25</v>
      </c>
      <c r="L287" t="s">
        <v>500</v>
      </c>
      <c r="M287" t="s">
        <v>499</v>
      </c>
      <c r="N287">
        <v>7.9915048543689318E-2</v>
      </c>
    </row>
    <row r="288" spans="1:14" x14ac:dyDescent="0.3">
      <c r="A288" t="s">
        <v>324</v>
      </c>
      <c r="B288" t="s">
        <v>38</v>
      </c>
      <c r="C288" s="24">
        <v>45509</v>
      </c>
      <c r="D288" t="s">
        <v>57</v>
      </c>
      <c r="E288" t="s">
        <v>504</v>
      </c>
      <c r="F288">
        <v>3601</v>
      </c>
      <c r="G288">
        <v>695</v>
      </c>
      <c r="H288">
        <v>75</v>
      </c>
      <c r="I288">
        <v>21606</v>
      </c>
      <c r="J288">
        <v>21454</v>
      </c>
      <c r="K288">
        <v>172</v>
      </c>
      <c r="L288" t="s">
        <v>505</v>
      </c>
      <c r="M288" t="s">
        <v>499</v>
      </c>
      <c r="N288">
        <v>0.2023049153013052</v>
      </c>
    </row>
    <row r="289" spans="1:14" x14ac:dyDescent="0.3">
      <c r="A289" t="s">
        <v>276</v>
      </c>
      <c r="B289" t="s">
        <v>18</v>
      </c>
      <c r="C289" s="24">
        <v>45698</v>
      </c>
      <c r="D289" t="s">
        <v>45</v>
      </c>
      <c r="E289" t="s">
        <v>510</v>
      </c>
      <c r="F289">
        <v>562</v>
      </c>
      <c r="G289">
        <v>158</v>
      </c>
      <c r="H289">
        <v>149</v>
      </c>
      <c r="I289">
        <v>3372</v>
      </c>
      <c r="J289">
        <v>2940</v>
      </c>
      <c r="K289">
        <v>93</v>
      </c>
      <c r="L289" t="s">
        <v>498</v>
      </c>
      <c r="M289" t="s">
        <v>495</v>
      </c>
      <c r="N289">
        <v>0.25771055753262156</v>
      </c>
    </row>
    <row r="290" spans="1:14" x14ac:dyDescent="0.3">
      <c r="A290" t="s">
        <v>253</v>
      </c>
      <c r="B290" t="s">
        <v>38</v>
      </c>
      <c r="C290" s="24">
        <v>45700</v>
      </c>
      <c r="D290" t="s">
        <v>57</v>
      </c>
      <c r="E290" t="s">
        <v>504</v>
      </c>
      <c r="F290">
        <v>4332</v>
      </c>
      <c r="G290">
        <v>771</v>
      </c>
      <c r="H290">
        <v>219</v>
      </c>
      <c r="I290">
        <v>60648</v>
      </c>
      <c r="J290">
        <v>60397</v>
      </c>
      <c r="K290">
        <v>10</v>
      </c>
      <c r="L290" t="s">
        <v>498</v>
      </c>
      <c r="M290" t="s">
        <v>503</v>
      </c>
      <c r="N290">
        <v>8.7752275425405618E-2</v>
      </c>
    </row>
    <row r="291" spans="1:14" x14ac:dyDescent="0.3">
      <c r="A291" t="s">
        <v>253</v>
      </c>
      <c r="B291" t="s">
        <v>38</v>
      </c>
      <c r="C291" s="24">
        <v>45700</v>
      </c>
      <c r="D291" t="s">
        <v>57</v>
      </c>
      <c r="E291" t="s">
        <v>504</v>
      </c>
      <c r="F291">
        <v>4332</v>
      </c>
      <c r="G291">
        <v>771</v>
      </c>
      <c r="H291">
        <v>219</v>
      </c>
      <c r="I291">
        <v>60648</v>
      </c>
      <c r="J291">
        <v>60397</v>
      </c>
      <c r="K291">
        <v>10</v>
      </c>
      <c r="L291" t="s">
        <v>505</v>
      </c>
      <c r="M291" t="s">
        <v>503</v>
      </c>
      <c r="N291">
        <v>8.7752275425405618E-2</v>
      </c>
    </row>
    <row r="292" spans="1:14" x14ac:dyDescent="0.3">
      <c r="A292" t="s">
        <v>253</v>
      </c>
      <c r="B292" t="s">
        <v>38</v>
      </c>
      <c r="C292" s="24">
        <v>45700</v>
      </c>
      <c r="D292" t="s">
        <v>57</v>
      </c>
      <c r="E292" t="s">
        <v>504</v>
      </c>
      <c r="F292">
        <v>4332</v>
      </c>
      <c r="G292">
        <v>771</v>
      </c>
      <c r="H292">
        <v>219</v>
      </c>
      <c r="I292">
        <v>60648</v>
      </c>
      <c r="J292">
        <v>60397</v>
      </c>
      <c r="K292">
        <v>10</v>
      </c>
      <c r="L292" t="s">
        <v>500</v>
      </c>
      <c r="M292" t="s">
        <v>503</v>
      </c>
      <c r="N292">
        <v>8.7752275425405618E-2</v>
      </c>
    </row>
    <row r="293" spans="1:14" x14ac:dyDescent="0.3">
      <c r="A293" t="s">
        <v>84</v>
      </c>
      <c r="B293" t="s">
        <v>38</v>
      </c>
      <c r="C293" s="24">
        <v>45592</v>
      </c>
      <c r="D293" t="s">
        <v>24</v>
      </c>
      <c r="E293" t="s">
        <v>525</v>
      </c>
      <c r="F293">
        <v>4853</v>
      </c>
      <c r="G293">
        <v>837</v>
      </c>
      <c r="H293">
        <v>340</v>
      </c>
      <c r="I293">
        <v>72795</v>
      </c>
      <c r="J293">
        <v>72237</v>
      </c>
      <c r="K293">
        <v>170</v>
      </c>
      <c r="L293" t="s">
        <v>505</v>
      </c>
      <c r="M293" t="s">
        <v>495</v>
      </c>
      <c r="N293">
        <v>8.2835359571399134E-2</v>
      </c>
    </row>
    <row r="294" spans="1:14" x14ac:dyDescent="0.3">
      <c r="A294" t="s">
        <v>197</v>
      </c>
      <c r="B294" t="s">
        <v>501</v>
      </c>
      <c r="C294" s="24">
        <v>45675</v>
      </c>
      <c r="D294" t="s">
        <v>24</v>
      </c>
      <c r="E294" t="s">
        <v>509</v>
      </c>
      <c r="F294">
        <v>1206</v>
      </c>
      <c r="G294">
        <v>238</v>
      </c>
      <c r="H294">
        <v>36</v>
      </c>
      <c r="I294">
        <v>9648</v>
      </c>
      <c r="J294">
        <v>9417</v>
      </c>
      <c r="K294">
        <v>237</v>
      </c>
      <c r="L294" t="s">
        <v>498</v>
      </c>
      <c r="N294">
        <v>0.15339966832504145</v>
      </c>
    </row>
    <row r="295" spans="1:14" x14ac:dyDescent="0.3">
      <c r="A295" t="s">
        <v>171</v>
      </c>
      <c r="B295" t="s">
        <v>38</v>
      </c>
      <c r="C295" s="24">
        <v>45524</v>
      </c>
      <c r="D295" t="s">
        <v>53</v>
      </c>
      <c r="E295" t="s">
        <v>516</v>
      </c>
      <c r="F295">
        <v>2603</v>
      </c>
      <c r="G295">
        <v>690</v>
      </c>
      <c r="H295">
        <v>205</v>
      </c>
      <c r="I295">
        <v>13015</v>
      </c>
      <c r="J295">
        <v>12130</v>
      </c>
      <c r="K295">
        <v>20</v>
      </c>
      <c r="L295" t="s">
        <v>494</v>
      </c>
      <c r="M295" t="s">
        <v>499</v>
      </c>
      <c r="N295">
        <v>0.26876680752977333</v>
      </c>
    </row>
    <row r="296" spans="1:14" x14ac:dyDescent="0.3">
      <c r="A296" t="s">
        <v>47</v>
      </c>
      <c r="B296" t="s">
        <v>23</v>
      </c>
      <c r="C296" s="24">
        <v>45687</v>
      </c>
      <c r="D296" t="s">
        <v>24</v>
      </c>
      <c r="E296" t="s">
        <v>521</v>
      </c>
      <c r="F296">
        <v>59</v>
      </c>
      <c r="G296">
        <v>163</v>
      </c>
      <c r="H296">
        <v>93</v>
      </c>
      <c r="I296">
        <v>590</v>
      </c>
      <c r="J296">
        <v>475</v>
      </c>
      <c r="K296">
        <v>293</v>
      </c>
      <c r="L296" t="s">
        <v>498</v>
      </c>
      <c r="M296" t="s">
        <v>499</v>
      </c>
      <c r="N296">
        <v>0.53389830508474578</v>
      </c>
    </row>
    <row r="297" spans="1:14" x14ac:dyDescent="0.3">
      <c r="A297" t="s">
        <v>174</v>
      </c>
      <c r="B297" t="s">
        <v>23</v>
      </c>
      <c r="C297" s="24">
        <v>45708</v>
      </c>
      <c r="D297" t="s">
        <v>20</v>
      </c>
      <c r="E297" t="s">
        <v>508</v>
      </c>
      <c r="F297">
        <v>1877</v>
      </c>
      <c r="G297">
        <v>745</v>
      </c>
      <c r="H297">
        <v>225</v>
      </c>
      <c r="I297">
        <v>11262</v>
      </c>
      <c r="J297">
        <v>10967</v>
      </c>
      <c r="K297">
        <v>41</v>
      </c>
      <c r="L297" t="s">
        <v>505</v>
      </c>
      <c r="M297" t="s">
        <v>506</v>
      </c>
      <c r="N297">
        <v>0.25279701651571657</v>
      </c>
    </row>
    <row r="298" spans="1:14" x14ac:dyDescent="0.3">
      <c r="A298" t="s">
        <v>108</v>
      </c>
      <c r="B298" t="s">
        <v>18</v>
      </c>
      <c r="C298" s="24">
        <v>45621</v>
      </c>
      <c r="D298" t="s">
        <v>57</v>
      </c>
      <c r="E298" t="s">
        <v>514</v>
      </c>
      <c r="F298">
        <v>4182</v>
      </c>
      <c r="G298">
        <v>640</v>
      </c>
      <c r="H298">
        <v>240</v>
      </c>
      <c r="I298">
        <v>50184</v>
      </c>
      <c r="J298">
        <v>49351</v>
      </c>
      <c r="K298">
        <v>10</v>
      </c>
      <c r="L298" t="s">
        <v>498</v>
      </c>
      <c r="M298" t="s">
        <v>503</v>
      </c>
      <c r="N298">
        <v>0.10086880280567512</v>
      </c>
    </row>
    <row r="299" spans="1:14" x14ac:dyDescent="0.3">
      <c r="A299" t="s">
        <v>335</v>
      </c>
      <c r="B299" t="s">
        <v>23</v>
      </c>
      <c r="C299" s="24">
        <v>45569</v>
      </c>
      <c r="D299" t="s">
        <v>53</v>
      </c>
      <c r="E299" t="s">
        <v>493</v>
      </c>
      <c r="F299">
        <v>4187</v>
      </c>
      <c r="G299">
        <v>66</v>
      </c>
      <c r="H299">
        <v>31</v>
      </c>
      <c r="I299">
        <v>66992</v>
      </c>
      <c r="J299">
        <v>66614</v>
      </c>
      <c r="K299">
        <v>62</v>
      </c>
      <c r="L299" t="s">
        <v>494</v>
      </c>
      <c r="N299">
        <v>6.3947934081681396E-2</v>
      </c>
    </row>
    <row r="300" spans="1:14" x14ac:dyDescent="0.3">
      <c r="A300" t="s">
        <v>242</v>
      </c>
      <c r="B300" t="s">
        <v>38</v>
      </c>
      <c r="C300" s="24">
        <v>45760</v>
      </c>
      <c r="D300" t="s">
        <v>53</v>
      </c>
      <c r="E300" t="s">
        <v>516</v>
      </c>
      <c r="F300">
        <v>4579</v>
      </c>
      <c r="G300">
        <v>125</v>
      </c>
      <c r="H300">
        <v>300</v>
      </c>
      <c r="I300">
        <v>59527</v>
      </c>
      <c r="J300">
        <v>59400</v>
      </c>
      <c r="K300">
        <v>269</v>
      </c>
      <c r="L300" t="s">
        <v>505</v>
      </c>
      <c r="M300" t="s">
        <v>495</v>
      </c>
      <c r="N300">
        <v>8.4062694239588759E-2</v>
      </c>
    </row>
    <row r="301" spans="1:14" x14ac:dyDescent="0.3">
      <c r="A301" t="s">
        <v>321</v>
      </c>
      <c r="B301" t="s">
        <v>38</v>
      </c>
      <c r="C301" s="24">
        <v>45601</v>
      </c>
      <c r="D301" t="s">
        <v>14</v>
      </c>
      <c r="E301" t="s">
        <v>517</v>
      </c>
      <c r="F301">
        <v>4561</v>
      </c>
      <c r="G301">
        <v>51</v>
      </c>
      <c r="H301">
        <v>441</v>
      </c>
      <c r="I301">
        <v>22805</v>
      </c>
      <c r="J301">
        <v>21890</v>
      </c>
      <c r="K301">
        <v>45</v>
      </c>
      <c r="L301" t="s">
        <v>498</v>
      </c>
      <c r="M301" t="s">
        <v>499</v>
      </c>
      <c r="N301">
        <v>0.22157421618066214</v>
      </c>
    </row>
    <row r="302" spans="1:14" x14ac:dyDescent="0.3">
      <c r="A302" t="s">
        <v>228</v>
      </c>
      <c r="B302" t="s">
        <v>501</v>
      </c>
      <c r="C302" s="24">
        <v>45672</v>
      </c>
      <c r="D302" t="s">
        <v>53</v>
      </c>
      <c r="E302" t="s">
        <v>502</v>
      </c>
      <c r="F302">
        <v>3774</v>
      </c>
      <c r="G302">
        <v>239</v>
      </c>
      <c r="H302">
        <v>39</v>
      </c>
      <c r="I302">
        <v>60384</v>
      </c>
      <c r="J302">
        <v>59490</v>
      </c>
      <c r="K302">
        <v>241</v>
      </c>
      <c r="L302" t="s">
        <v>498</v>
      </c>
      <c r="M302" t="s">
        <v>503</v>
      </c>
    </row>
    <row r="303" spans="1:14" x14ac:dyDescent="0.3">
      <c r="A303" t="s">
        <v>201</v>
      </c>
      <c r="B303" t="s">
        <v>38</v>
      </c>
      <c r="C303" s="24">
        <v>45582</v>
      </c>
      <c r="D303" t="s">
        <v>14</v>
      </c>
      <c r="E303" t="s">
        <v>517</v>
      </c>
      <c r="F303">
        <v>3575</v>
      </c>
      <c r="G303">
        <v>749</v>
      </c>
      <c r="H303">
        <v>111</v>
      </c>
      <c r="I303">
        <v>21450</v>
      </c>
      <c r="J303">
        <v>20785</v>
      </c>
      <c r="K303">
        <v>195</v>
      </c>
      <c r="L303" t="s">
        <v>505</v>
      </c>
      <c r="M303" t="s">
        <v>499</v>
      </c>
    </row>
    <row r="304" spans="1:14" x14ac:dyDescent="0.3">
      <c r="A304" t="s">
        <v>88</v>
      </c>
      <c r="B304" t="s">
        <v>38</v>
      </c>
      <c r="C304" s="24">
        <v>45743</v>
      </c>
      <c r="D304" t="s">
        <v>45</v>
      </c>
      <c r="E304" t="s">
        <v>520</v>
      </c>
      <c r="F304">
        <v>4941</v>
      </c>
      <c r="G304">
        <v>414</v>
      </c>
      <c r="H304">
        <v>266</v>
      </c>
      <c r="I304">
        <v>39528</v>
      </c>
      <c r="J304">
        <v>39154</v>
      </c>
      <c r="K304">
        <v>217</v>
      </c>
      <c r="L304" t="s">
        <v>498</v>
      </c>
      <c r="M304" t="s">
        <v>503</v>
      </c>
    </row>
    <row r="305" spans="1:13" x14ac:dyDescent="0.3">
      <c r="A305" t="s">
        <v>246</v>
      </c>
      <c r="B305" t="s">
        <v>501</v>
      </c>
      <c r="C305" s="24">
        <v>45577</v>
      </c>
      <c r="D305" t="s">
        <v>57</v>
      </c>
      <c r="E305" t="s">
        <v>524</v>
      </c>
      <c r="F305">
        <v>3641</v>
      </c>
      <c r="G305">
        <v>226</v>
      </c>
      <c r="H305">
        <v>46</v>
      </c>
      <c r="I305">
        <v>40051</v>
      </c>
      <c r="J305">
        <v>39319</v>
      </c>
      <c r="K305">
        <v>296</v>
      </c>
      <c r="L305" t="s">
        <v>505</v>
      </c>
      <c r="M305" t="s">
        <v>506</v>
      </c>
    </row>
    <row r="306" spans="1:13" x14ac:dyDescent="0.3">
      <c r="A306" t="s">
        <v>383</v>
      </c>
      <c r="B306" t="s">
        <v>23</v>
      </c>
      <c r="C306" s="24">
        <v>45658</v>
      </c>
      <c r="D306" t="s">
        <v>20</v>
      </c>
      <c r="E306" t="s">
        <v>508</v>
      </c>
      <c r="F306">
        <v>3535</v>
      </c>
      <c r="G306">
        <v>494</v>
      </c>
      <c r="H306">
        <v>152</v>
      </c>
      <c r="I306">
        <v>53025</v>
      </c>
      <c r="J306">
        <v>52791</v>
      </c>
      <c r="K306">
        <v>44</v>
      </c>
      <c r="L306" t="s">
        <v>498</v>
      </c>
      <c r="M306" t="s">
        <v>506</v>
      </c>
    </row>
    <row r="307" spans="1:13" x14ac:dyDescent="0.3">
      <c r="A307" t="s">
        <v>326</v>
      </c>
      <c r="B307" t="s">
        <v>18</v>
      </c>
      <c r="C307" s="24">
        <v>45509</v>
      </c>
      <c r="D307" t="s">
        <v>53</v>
      </c>
      <c r="E307" t="s">
        <v>512</v>
      </c>
      <c r="F307">
        <v>1741</v>
      </c>
      <c r="G307">
        <v>831</v>
      </c>
      <c r="H307">
        <v>345</v>
      </c>
      <c r="I307">
        <v>17410</v>
      </c>
      <c r="J307">
        <v>16844</v>
      </c>
      <c r="K307">
        <v>58</v>
      </c>
      <c r="L307" t="s">
        <v>505</v>
      </c>
      <c r="M307" t="s">
        <v>503</v>
      </c>
    </row>
    <row r="308" spans="1:13" x14ac:dyDescent="0.3">
      <c r="A308" t="s">
        <v>302</v>
      </c>
      <c r="B308" t="s">
        <v>23</v>
      </c>
      <c r="C308" s="24">
        <v>45450</v>
      </c>
      <c r="D308" t="s">
        <v>20</v>
      </c>
      <c r="E308" t="s">
        <v>508</v>
      </c>
      <c r="F308">
        <v>1556</v>
      </c>
      <c r="G308">
        <v>195</v>
      </c>
      <c r="H308">
        <v>131</v>
      </c>
      <c r="I308">
        <v>9336</v>
      </c>
      <c r="J308">
        <v>8875</v>
      </c>
      <c r="K308">
        <v>137</v>
      </c>
      <c r="L308" t="s">
        <v>498</v>
      </c>
      <c r="M308" t="s">
        <v>499</v>
      </c>
    </row>
    <row r="309" spans="1:13" x14ac:dyDescent="0.3">
      <c r="A309" t="s">
        <v>313</v>
      </c>
      <c r="B309" t="s">
        <v>18</v>
      </c>
      <c r="C309" s="24">
        <v>45753</v>
      </c>
      <c r="D309" t="s">
        <v>24</v>
      </c>
      <c r="E309" t="s">
        <v>511</v>
      </c>
      <c r="F309">
        <v>4236</v>
      </c>
      <c r="G309">
        <v>711</v>
      </c>
      <c r="H309">
        <v>298</v>
      </c>
      <c r="I309">
        <v>21180</v>
      </c>
      <c r="J309">
        <v>20516</v>
      </c>
      <c r="K309">
        <v>238</v>
      </c>
      <c r="L309" t="s">
        <v>494</v>
      </c>
      <c r="M309" t="s">
        <v>495</v>
      </c>
    </row>
    <row r="310" spans="1:13" x14ac:dyDescent="0.3">
      <c r="A310" t="s">
        <v>95</v>
      </c>
      <c r="B310" t="s">
        <v>23</v>
      </c>
      <c r="C310" s="24">
        <v>45622</v>
      </c>
      <c r="D310" t="s">
        <v>45</v>
      </c>
      <c r="E310" t="s">
        <v>497</v>
      </c>
      <c r="F310">
        <v>4516</v>
      </c>
      <c r="G310">
        <v>836</v>
      </c>
      <c r="H310">
        <v>169</v>
      </c>
      <c r="I310">
        <v>49676</v>
      </c>
      <c r="J310">
        <v>49257</v>
      </c>
      <c r="K310">
        <v>282</v>
      </c>
      <c r="L310" t="s">
        <v>505</v>
      </c>
      <c r="M310" t="s">
        <v>506</v>
      </c>
    </row>
    <row r="311" spans="1:13" x14ac:dyDescent="0.3">
      <c r="A311" t="s">
        <v>362</v>
      </c>
      <c r="B311" t="s">
        <v>501</v>
      </c>
      <c r="C311" s="24">
        <v>45537</v>
      </c>
      <c r="D311" t="s">
        <v>24</v>
      </c>
      <c r="E311" t="s">
        <v>509</v>
      </c>
      <c r="F311">
        <v>4905</v>
      </c>
      <c r="G311">
        <v>845</v>
      </c>
      <c r="H311">
        <v>129</v>
      </c>
      <c r="I311">
        <v>98100</v>
      </c>
      <c r="J311">
        <v>97772</v>
      </c>
      <c r="K311">
        <v>279</v>
      </c>
      <c r="L311" t="s">
        <v>498</v>
      </c>
      <c r="M311" t="s">
        <v>499</v>
      </c>
    </row>
    <row r="312" spans="1:13" x14ac:dyDescent="0.3">
      <c r="A312" t="s">
        <v>158</v>
      </c>
      <c r="B312" t="s">
        <v>501</v>
      </c>
      <c r="C312" s="24">
        <v>45586</v>
      </c>
      <c r="D312" t="s">
        <v>14</v>
      </c>
      <c r="E312" t="s">
        <v>526</v>
      </c>
      <c r="F312">
        <v>4275</v>
      </c>
      <c r="G312">
        <v>680</v>
      </c>
      <c r="H312">
        <v>385</v>
      </c>
      <c r="I312">
        <v>64125</v>
      </c>
      <c r="J312">
        <v>63650</v>
      </c>
      <c r="K312">
        <v>104</v>
      </c>
      <c r="L312" t="s">
        <v>505</v>
      </c>
      <c r="M312" t="s">
        <v>506</v>
      </c>
    </row>
    <row r="313" spans="1:13" x14ac:dyDescent="0.3">
      <c r="A313" t="s">
        <v>158</v>
      </c>
      <c r="B313" t="s">
        <v>501</v>
      </c>
      <c r="C313" s="24">
        <v>45586</v>
      </c>
      <c r="D313" t="s">
        <v>14</v>
      </c>
      <c r="E313" t="s">
        <v>526</v>
      </c>
      <c r="F313">
        <v>4275</v>
      </c>
      <c r="G313">
        <v>680</v>
      </c>
      <c r="H313">
        <v>385</v>
      </c>
      <c r="I313">
        <v>64125</v>
      </c>
      <c r="J313">
        <v>63650</v>
      </c>
      <c r="K313">
        <v>104</v>
      </c>
      <c r="L313" t="s">
        <v>498</v>
      </c>
      <c r="M313" t="s">
        <v>506</v>
      </c>
    </row>
    <row r="314" spans="1:13" x14ac:dyDescent="0.3">
      <c r="A314" t="s">
        <v>158</v>
      </c>
      <c r="B314" t="s">
        <v>501</v>
      </c>
      <c r="C314" s="24">
        <v>45586</v>
      </c>
      <c r="D314" t="s">
        <v>14</v>
      </c>
      <c r="E314" t="s">
        <v>526</v>
      </c>
      <c r="F314">
        <v>4275</v>
      </c>
      <c r="G314">
        <v>680</v>
      </c>
      <c r="H314">
        <v>385</v>
      </c>
      <c r="I314">
        <v>64125</v>
      </c>
      <c r="J314">
        <v>63650</v>
      </c>
      <c r="K314">
        <v>104</v>
      </c>
      <c r="L314" t="s">
        <v>496</v>
      </c>
      <c r="M314" t="s">
        <v>506</v>
      </c>
    </row>
    <row r="315" spans="1:13" x14ac:dyDescent="0.3">
      <c r="A315" t="s">
        <v>155</v>
      </c>
      <c r="B315" t="s">
        <v>501</v>
      </c>
      <c r="C315" s="24">
        <v>45738</v>
      </c>
      <c r="D315" t="s">
        <v>24</v>
      </c>
      <c r="E315" t="s">
        <v>509</v>
      </c>
      <c r="F315">
        <v>3166</v>
      </c>
      <c r="G315">
        <v>90</v>
      </c>
      <c r="H315">
        <v>341</v>
      </c>
      <c r="I315">
        <v>56988</v>
      </c>
      <c r="J315">
        <v>56125</v>
      </c>
      <c r="K315">
        <v>135</v>
      </c>
      <c r="L315" t="s">
        <v>505</v>
      </c>
      <c r="M315" t="s">
        <v>499</v>
      </c>
    </row>
    <row r="316" spans="1:13" x14ac:dyDescent="0.3">
      <c r="A316" t="s">
        <v>346</v>
      </c>
      <c r="B316" t="s">
        <v>38</v>
      </c>
      <c r="C316" s="24">
        <v>45568</v>
      </c>
      <c r="D316" t="s">
        <v>14</v>
      </c>
      <c r="E316" t="s">
        <v>517</v>
      </c>
      <c r="F316">
        <v>1488</v>
      </c>
      <c r="G316">
        <v>417</v>
      </c>
      <c r="H316">
        <v>168</v>
      </c>
      <c r="I316">
        <v>19344</v>
      </c>
      <c r="J316">
        <v>18395</v>
      </c>
      <c r="K316">
        <v>30</v>
      </c>
      <c r="L316" t="s">
        <v>494</v>
      </c>
      <c r="M316" t="s">
        <v>503</v>
      </c>
    </row>
    <row r="317" spans="1:13" x14ac:dyDescent="0.3">
      <c r="A317" t="s">
        <v>286</v>
      </c>
      <c r="B317" t="s">
        <v>23</v>
      </c>
      <c r="C317" s="24">
        <v>45786</v>
      </c>
      <c r="D317" t="s">
        <v>53</v>
      </c>
      <c r="E317" t="s">
        <v>493</v>
      </c>
      <c r="F317">
        <v>3367</v>
      </c>
      <c r="G317">
        <v>302</v>
      </c>
      <c r="H317">
        <v>57</v>
      </c>
      <c r="I317">
        <v>63973</v>
      </c>
      <c r="J317">
        <v>63789</v>
      </c>
      <c r="K317">
        <v>157</v>
      </c>
      <c r="L317" t="s">
        <v>494</v>
      </c>
      <c r="M317" t="s">
        <v>499</v>
      </c>
    </row>
    <row r="318" spans="1:13" x14ac:dyDescent="0.3">
      <c r="A318" t="s">
        <v>202</v>
      </c>
      <c r="B318" t="s">
        <v>23</v>
      </c>
      <c r="C318" s="24">
        <v>45552</v>
      </c>
      <c r="D318" t="s">
        <v>45</v>
      </c>
      <c r="E318" t="s">
        <v>497</v>
      </c>
      <c r="F318">
        <v>571</v>
      </c>
      <c r="G318">
        <v>190</v>
      </c>
      <c r="H318">
        <v>352</v>
      </c>
      <c r="I318">
        <v>9707</v>
      </c>
      <c r="J318">
        <v>9418</v>
      </c>
      <c r="K318">
        <v>231</v>
      </c>
      <c r="L318" t="s">
        <v>498</v>
      </c>
      <c r="M318" t="s">
        <v>506</v>
      </c>
    </row>
    <row r="319" spans="1:13" x14ac:dyDescent="0.3">
      <c r="A319" t="s">
        <v>195</v>
      </c>
      <c r="B319" t="s">
        <v>501</v>
      </c>
      <c r="C319" s="24">
        <v>45491</v>
      </c>
      <c r="D319" t="s">
        <v>45</v>
      </c>
      <c r="E319" t="s">
        <v>519</v>
      </c>
      <c r="F319">
        <v>4021</v>
      </c>
      <c r="G319">
        <v>794</v>
      </c>
      <c r="H319">
        <v>77</v>
      </c>
      <c r="I319">
        <v>36189</v>
      </c>
      <c r="J319">
        <v>35505</v>
      </c>
      <c r="K319">
        <v>174</v>
      </c>
      <c r="L319" t="s">
        <v>505</v>
      </c>
    </row>
    <row r="320" spans="1:13" x14ac:dyDescent="0.3">
      <c r="A320" t="s">
        <v>110</v>
      </c>
      <c r="B320" t="s">
        <v>501</v>
      </c>
      <c r="C320" s="24">
        <v>45560</v>
      </c>
      <c r="D320" t="s">
        <v>14</v>
      </c>
      <c r="E320" t="s">
        <v>526</v>
      </c>
      <c r="F320">
        <v>3389</v>
      </c>
      <c r="G320">
        <v>344</v>
      </c>
      <c r="H320">
        <v>229</v>
      </c>
      <c r="I320">
        <v>20334</v>
      </c>
      <c r="J320">
        <v>19443</v>
      </c>
      <c r="K320">
        <v>228</v>
      </c>
      <c r="L320" t="s">
        <v>494</v>
      </c>
      <c r="M320" t="s">
        <v>503</v>
      </c>
    </row>
    <row r="321" spans="1:13" x14ac:dyDescent="0.3">
      <c r="A321" t="s">
        <v>220</v>
      </c>
      <c r="B321" t="s">
        <v>38</v>
      </c>
      <c r="C321" s="24">
        <v>45519</v>
      </c>
      <c r="D321" t="s">
        <v>53</v>
      </c>
      <c r="E321" t="s">
        <v>516</v>
      </c>
      <c r="F321">
        <v>1164</v>
      </c>
      <c r="G321">
        <v>616</v>
      </c>
      <c r="H321">
        <v>324</v>
      </c>
      <c r="I321">
        <v>6984</v>
      </c>
      <c r="J321">
        <v>6636</v>
      </c>
      <c r="K321">
        <v>82</v>
      </c>
      <c r="L321" t="s">
        <v>505</v>
      </c>
      <c r="M321" t="s">
        <v>495</v>
      </c>
    </row>
    <row r="322" spans="1:13" x14ac:dyDescent="0.3">
      <c r="A322" t="s">
        <v>208</v>
      </c>
      <c r="B322" t="s">
        <v>501</v>
      </c>
      <c r="C322" s="24">
        <v>45764</v>
      </c>
      <c r="D322" t="s">
        <v>20</v>
      </c>
      <c r="E322" t="s">
        <v>513</v>
      </c>
      <c r="F322">
        <v>4780</v>
      </c>
      <c r="G322">
        <v>691</v>
      </c>
      <c r="H322">
        <v>380</v>
      </c>
      <c r="I322">
        <v>86040</v>
      </c>
      <c r="J322">
        <v>85743</v>
      </c>
      <c r="K322">
        <v>262</v>
      </c>
      <c r="L322" t="s">
        <v>494</v>
      </c>
      <c r="M322" t="s">
        <v>503</v>
      </c>
    </row>
    <row r="323" spans="1:13" x14ac:dyDescent="0.3">
      <c r="A323" t="s">
        <v>68</v>
      </c>
      <c r="B323" t="s">
        <v>18</v>
      </c>
      <c r="C323" s="24">
        <v>45624</v>
      </c>
      <c r="D323" t="s">
        <v>20</v>
      </c>
      <c r="E323" t="s">
        <v>507</v>
      </c>
      <c r="F323">
        <v>2751</v>
      </c>
      <c r="G323">
        <v>33</v>
      </c>
      <c r="H323">
        <v>430</v>
      </c>
      <c r="I323">
        <v>44016</v>
      </c>
      <c r="J323">
        <v>43415</v>
      </c>
      <c r="K323">
        <v>129</v>
      </c>
      <c r="L323" t="s">
        <v>494</v>
      </c>
    </row>
    <row r="324" spans="1:13" x14ac:dyDescent="0.3">
      <c r="A324" t="s">
        <v>170</v>
      </c>
      <c r="B324" t="s">
        <v>38</v>
      </c>
      <c r="C324" s="24">
        <v>45646</v>
      </c>
      <c r="D324" t="s">
        <v>20</v>
      </c>
      <c r="E324" t="s">
        <v>518</v>
      </c>
      <c r="F324">
        <v>2107</v>
      </c>
      <c r="G324">
        <v>550</v>
      </c>
      <c r="H324">
        <v>349</v>
      </c>
      <c r="I324">
        <v>35819</v>
      </c>
      <c r="J324">
        <v>35340</v>
      </c>
      <c r="K324">
        <v>191</v>
      </c>
      <c r="L324" t="s">
        <v>505</v>
      </c>
      <c r="M324" t="s">
        <v>506</v>
      </c>
    </row>
    <row r="325" spans="1:13" x14ac:dyDescent="0.3">
      <c r="A325" t="s">
        <v>307</v>
      </c>
      <c r="B325" t="s">
        <v>18</v>
      </c>
      <c r="C325" s="24">
        <v>45602</v>
      </c>
      <c r="D325" t="s">
        <v>14</v>
      </c>
      <c r="E325" t="s">
        <v>515</v>
      </c>
      <c r="F325">
        <v>4663</v>
      </c>
      <c r="G325">
        <v>145</v>
      </c>
      <c r="H325">
        <v>225</v>
      </c>
      <c r="I325">
        <v>69945</v>
      </c>
      <c r="J325">
        <v>69596</v>
      </c>
      <c r="K325">
        <v>35</v>
      </c>
      <c r="L325" t="s">
        <v>505</v>
      </c>
      <c r="M325" t="s">
        <v>506</v>
      </c>
    </row>
    <row r="326" spans="1:13" x14ac:dyDescent="0.3">
      <c r="A326" t="s">
        <v>200</v>
      </c>
      <c r="B326" t="s">
        <v>18</v>
      </c>
      <c r="C326" s="24">
        <v>45613</v>
      </c>
      <c r="D326" t="s">
        <v>45</v>
      </c>
      <c r="E326" t="s">
        <v>510</v>
      </c>
      <c r="F326">
        <v>880</v>
      </c>
      <c r="G326">
        <v>297</v>
      </c>
      <c r="H326">
        <v>345</v>
      </c>
      <c r="I326">
        <v>12320</v>
      </c>
      <c r="J326">
        <v>11978</v>
      </c>
      <c r="K326">
        <v>238</v>
      </c>
      <c r="L326" t="s">
        <v>498</v>
      </c>
    </row>
    <row r="327" spans="1:13" x14ac:dyDescent="0.3">
      <c r="A327" t="s">
        <v>200</v>
      </c>
      <c r="B327" t="s">
        <v>18</v>
      </c>
      <c r="C327" s="24">
        <v>45613</v>
      </c>
      <c r="D327" t="s">
        <v>45</v>
      </c>
      <c r="E327" t="s">
        <v>510</v>
      </c>
      <c r="F327">
        <v>880</v>
      </c>
      <c r="G327">
        <v>297</v>
      </c>
      <c r="H327">
        <v>345</v>
      </c>
      <c r="I327">
        <v>12320</v>
      </c>
      <c r="J327">
        <v>11978</v>
      </c>
      <c r="K327">
        <v>238</v>
      </c>
      <c r="L327" t="s">
        <v>496</v>
      </c>
    </row>
    <row r="328" spans="1:13" x14ac:dyDescent="0.3">
      <c r="A328" t="s">
        <v>235</v>
      </c>
      <c r="B328" t="s">
        <v>18</v>
      </c>
      <c r="C328" s="24">
        <v>45791</v>
      </c>
      <c r="D328" t="s">
        <v>45</v>
      </c>
      <c r="E328" t="s">
        <v>510</v>
      </c>
      <c r="F328">
        <v>2634</v>
      </c>
      <c r="G328">
        <v>726</v>
      </c>
      <c r="H328">
        <v>241</v>
      </c>
      <c r="I328">
        <v>28974</v>
      </c>
      <c r="J328">
        <v>28102</v>
      </c>
      <c r="K328">
        <v>277</v>
      </c>
      <c r="L328" t="s">
        <v>505</v>
      </c>
      <c r="M328" t="s">
        <v>495</v>
      </c>
    </row>
    <row r="329" spans="1:13" x14ac:dyDescent="0.3">
      <c r="A329" t="s">
        <v>180</v>
      </c>
      <c r="B329" t="s">
        <v>18</v>
      </c>
      <c r="C329" s="24">
        <v>45462</v>
      </c>
      <c r="D329" t="s">
        <v>20</v>
      </c>
      <c r="E329" t="s">
        <v>507</v>
      </c>
      <c r="F329">
        <v>4731</v>
      </c>
      <c r="G329">
        <v>173</v>
      </c>
      <c r="H329">
        <v>276</v>
      </c>
      <c r="I329">
        <v>28386</v>
      </c>
      <c r="J329">
        <v>28185</v>
      </c>
      <c r="K329">
        <v>89</v>
      </c>
      <c r="L329" t="s">
        <v>505</v>
      </c>
      <c r="M329" t="s">
        <v>503</v>
      </c>
    </row>
    <row r="330" spans="1:13" x14ac:dyDescent="0.3">
      <c r="A330" t="s">
        <v>311</v>
      </c>
      <c r="B330" t="s">
        <v>23</v>
      </c>
      <c r="C330" s="24">
        <v>45783</v>
      </c>
      <c r="D330" t="s">
        <v>24</v>
      </c>
      <c r="E330" t="s">
        <v>521</v>
      </c>
      <c r="F330">
        <v>1952</v>
      </c>
      <c r="G330">
        <v>344</v>
      </c>
      <c r="H330">
        <v>287</v>
      </c>
      <c r="I330">
        <v>15616</v>
      </c>
      <c r="J330">
        <v>15403</v>
      </c>
      <c r="K330">
        <v>235</v>
      </c>
      <c r="L330" t="s">
        <v>494</v>
      </c>
      <c r="M330" t="s">
        <v>499</v>
      </c>
    </row>
    <row r="331" spans="1:13" x14ac:dyDescent="0.3">
      <c r="A331" t="s">
        <v>311</v>
      </c>
      <c r="B331" t="s">
        <v>23</v>
      </c>
      <c r="C331" s="24">
        <v>45783</v>
      </c>
      <c r="D331" t="s">
        <v>24</v>
      </c>
      <c r="E331" t="s">
        <v>521</v>
      </c>
      <c r="F331">
        <v>1952</v>
      </c>
      <c r="G331">
        <v>344</v>
      </c>
      <c r="H331">
        <v>287</v>
      </c>
      <c r="I331">
        <v>15616</v>
      </c>
      <c r="J331">
        <v>15403</v>
      </c>
      <c r="K331">
        <v>235</v>
      </c>
      <c r="L331" t="s">
        <v>498</v>
      </c>
      <c r="M331" t="s">
        <v>499</v>
      </c>
    </row>
    <row r="332" spans="1:13" x14ac:dyDescent="0.3">
      <c r="A332" t="s">
        <v>311</v>
      </c>
      <c r="B332" t="s">
        <v>23</v>
      </c>
      <c r="C332" s="24">
        <v>45783</v>
      </c>
      <c r="D332" t="s">
        <v>24</v>
      </c>
      <c r="E332" t="s">
        <v>521</v>
      </c>
      <c r="F332">
        <v>1952</v>
      </c>
      <c r="G332">
        <v>344</v>
      </c>
      <c r="H332">
        <v>287</v>
      </c>
      <c r="I332">
        <v>15616</v>
      </c>
      <c r="J332">
        <v>15403</v>
      </c>
      <c r="K332">
        <v>235</v>
      </c>
      <c r="L332" t="s">
        <v>496</v>
      </c>
      <c r="M332" t="s">
        <v>499</v>
      </c>
    </row>
    <row r="333" spans="1:13" x14ac:dyDescent="0.3">
      <c r="A333" t="s">
        <v>266</v>
      </c>
      <c r="B333" t="s">
        <v>23</v>
      </c>
      <c r="C333" s="24">
        <v>45699</v>
      </c>
      <c r="D333" t="s">
        <v>14</v>
      </c>
      <c r="E333" t="s">
        <v>522</v>
      </c>
      <c r="F333">
        <v>3440</v>
      </c>
      <c r="G333">
        <v>13</v>
      </c>
      <c r="H333">
        <v>20</v>
      </c>
      <c r="I333">
        <v>58480</v>
      </c>
      <c r="J333">
        <v>58146</v>
      </c>
      <c r="K333">
        <v>210</v>
      </c>
      <c r="L333" t="s">
        <v>498</v>
      </c>
      <c r="M333" t="s">
        <v>506</v>
      </c>
    </row>
    <row r="334" spans="1:13" x14ac:dyDescent="0.3">
      <c r="A334" t="s">
        <v>266</v>
      </c>
      <c r="B334" t="s">
        <v>23</v>
      </c>
      <c r="C334" s="24">
        <v>45699</v>
      </c>
      <c r="D334" t="s">
        <v>14</v>
      </c>
      <c r="E334" t="s">
        <v>522</v>
      </c>
      <c r="F334">
        <v>3440</v>
      </c>
      <c r="G334">
        <v>13</v>
      </c>
      <c r="H334">
        <v>20</v>
      </c>
      <c r="I334">
        <v>58480</v>
      </c>
      <c r="J334">
        <v>58146</v>
      </c>
      <c r="K334">
        <v>210</v>
      </c>
      <c r="L334" t="s">
        <v>527</v>
      </c>
      <c r="M334" t="s">
        <v>506</v>
      </c>
    </row>
    <row r="335" spans="1:13" x14ac:dyDescent="0.3">
      <c r="A335" t="s">
        <v>115</v>
      </c>
      <c r="B335" t="s">
        <v>23</v>
      </c>
      <c r="C335" s="24">
        <v>45650</v>
      </c>
      <c r="D335" t="s">
        <v>45</v>
      </c>
      <c r="E335" t="s">
        <v>497</v>
      </c>
      <c r="F335">
        <v>2166</v>
      </c>
      <c r="G335">
        <v>354</v>
      </c>
      <c r="H335">
        <v>117</v>
      </c>
      <c r="I335">
        <v>10830</v>
      </c>
      <c r="J335">
        <v>10245</v>
      </c>
      <c r="K335">
        <v>24</v>
      </c>
      <c r="L335" t="s">
        <v>505</v>
      </c>
      <c r="M335" t="s">
        <v>506</v>
      </c>
    </row>
    <row r="336" spans="1:13" x14ac:dyDescent="0.3">
      <c r="A336" t="s">
        <v>116</v>
      </c>
      <c r="B336" t="s">
        <v>18</v>
      </c>
      <c r="C336" s="24">
        <v>45589</v>
      </c>
      <c r="D336" t="s">
        <v>24</v>
      </c>
      <c r="E336" t="s">
        <v>511</v>
      </c>
      <c r="F336">
        <v>4303</v>
      </c>
      <c r="G336">
        <v>451</v>
      </c>
      <c r="H336">
        <v>286</v>
      </c>
      <c r="I336">
        <v>86060</v>
      </c>
      <c r="J336">
        <v>85823</v>
      </c>
      <c r="K336">
        <v>14</v>
      </c>
      <c r="L336" t="s">
        <v>498</v>
      </c>
      <c r="M336" t="s">
        <v>503</v>
      </c>
    </row>
    <row r="337" spans="1:13" x14ac:dyDescent="0.3">
      <c r="A337" t="s">
        <v>96</v>
      </c>
      <c r="B337" t="s">
        <v>18</v>
      </c>
      <c r="C337" s="24">
        <v>45530</v>
      </c>
      <c r="D337" t="s">
        <v>24</v>
      </c>
      <c r="E337" t="s">
        <v>511</v>
      </c>
      <c r="F337">
        <v>2581</v>
      </c>
      <c r="G337">
        <v>517</v>
      </c>
      <c r="H337">
        <v>117</v>
      </c>
      <c r="I337">
        <v>23229</v>
      </c>
      <c r="J337">
        <v>22331</v>
      </c>
      <c r="K337">
        <v>70</v>
      </c>
      <c r="L337" t="s">
        <v>494</v>
      </c>
      <c r="M337" t="s">
        <v>503</v>
      </c>
    </row>
    <row r="338" spans="1:13" x14ac:dyDescent="0.3">
      <c r="A338" t="s">
        <v>26</v>
      </c>
      <c r="B338" t="s">
        <v>23</v>
      </c>
      <c r="C338" s="24">
        <v>45535</v>
      </c>
      <c r="D338" t="s">
        <v>20</v>
      </c>
      <c r="E338" t="s">
        <v>508</v>
      </c>
      <c r="F338">
        <v>4494</v>
      </c>
      <c r="G338">
        <v>717</v>
      </c>
      <c r="H338">
        <v>45</v>
      </c>
      <c r="I338">
        <v>62916</v>
      </c>
      <c r="J338">
        <v>62688</v>
      </c>
      <c r="K338">
        <v>191</v>
      </c>
      <c r="L338" t="s">
        <v>498</v>
      </c>
      <c r="M338" t="s">
        <v>495</v>
      </c>
    </row>
    <row r="339" spans="1:13" x14ac:dyDescent="0.3">
      <c r="A339" t="s">
        <v>26</v>
      </c>
      <c r="B339" t="s">
        <v>23</v>
      </c>
      <c r="C339" s="24">
        <v>45535</v>
      </c>
      <c r="D339" t="s">
        <v>20</v>
      </c>
      <c r="E339" t="s">
        <v>508</v>
      </c>
      <c r="F339">
        <v>4494</v>
      </c>
      <c r="G339">
        <v>717</v>
      </c>
      <c r="H339">
        <v>45</v>
      </c>
      <c r="I339">
        <v>62916</v>
      </c>
      <c r="J339">
        <v>62688</v>
      </c>
      <c r="K339">
        <v>191</v>
      </c>
      <c r="L339" t="s">
        <v>505</v>
      </c>
      <c r="M339" t="s">
        <v>495</v>
      </c>
    </row>
    <row r="340" spans="1:13" x14ac:dyDescent="0.3">
      <c r="A340" t="s">
        <v>26</v>
      </c>
      <c r="B340" t="s">
        <v>23</v>
      </c>
      <c r="C340" s="24">
        <v>45535</v>
      </c>
      <c r="D340" t="s">
        <v>20</v>
      </c>
      <c r="E340" t="s">
        <v>508</v>
      </c>
      <c r="F340">
        <v>4494</v>
      </c>
      <c r="G340">
        <v>717</v>
      </c>
      <c r="H340">
        <v>45</v>
      </c>
      <c r="I340">
        <v>62916</v>
      </c>
      <c r="J340">
        <v>62688</v>
      </c>
      <c r="K340">
        <v>191</v>
      </c>
      <c r="L340" t="s">
        <v>500</v>
      </c>
      <c r="M340" t="s">
        <v>495</v>
      </c>
    </row>
  </sheetData>
  <mergeCells count="3">
    <mergeCell ref="U27:Z27"/>
    <mergeCell ref="T27:T28"/>
    <mergeCell ref="AA27:AA28"/>
  </mergeCells>
  <pageMargins left="0.7" right="0.7" top="0.75" bottom="0.75" header="0.3" footer="0.3"/>
  <drawing r:id="rId4"/>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07B7E2-CF59-4B9C-8BC8-8F183F3E3887}">
  <dimension ref="A1:U209"/>
  <sheetViews>
    <sheetView showGridLines="0" topLeftCell="I1048552" workbookViewId="0">
      <selection activeCell="S1048576" sqref="S1048576"/>
    </sheetView>
  </sheetViews>
  <sheetFormatPr defaultRowHeight="14.4" x14ac:dyDescent="0.3"/>
  <cols>
    <col min="1" max="1" width="15.77734375" bestFit="1" customWidth="1"/>
    <col min="2" max="3" width="10.33203125" bestFit="1" customWidth="1"/>
    <col min="4" max="4" width="19.5546875" bestFit="1" customWidth="1"/>
    <col min="5" max="5" width="11.88671875" bestFit="1" customWidth="1"/>
    <col min="6" max="6" width="17.6640625" bestFit="1" customWidth="1"/>
    <col min="7" max="7" width="29" bestFit="1" customWidth="1"/>
    <col min="8" max="8" width="13.33203125" style="13" bestFit="1" customWidth="1"/>
    <col min="9" max="12" width="9" customWidth="1"/>
    <col min="13" max="14" width="15.77734375" bestFit="1" customWidth="1"/>
    <col min="15" max="15" width="16.33203125" bestFit="1" customWidth="1"/>
    <col min="16" max="16" width="23.44140625" bestFit="1" customWidth="1"/>
    <col min="17" max="18" width="10.33203125" bestFit="1" customWidth="1"/>
    <col min="19" max="19" width="13.109375" bestFit="1" customWidth="1"/>
    <col min="20" max="20" width="17.6640625" bestFit="1" customWidth="1"/>
    <col min="21" max="21" width="32.44140625" bestFit="1" customWidth="1"/>
    <col min="22" max="23" width="10.33203125" bestFit="1" customWidth="1"/>
  </cols>
  <sheetData>
    <row r="1" spans="1:21" x14ac:dyDescent="0.3">
      <c r="A1" s="17" t="s">
        <v>384</v>
      </c>
      <c r="B1" s="17" t="s">
        <v>1</v>
      </c>
      <c r="C1" s="17" t="s">
        <v>385</v>
      </c>
      <c r="D1" s="17" t="s">
        <v>386</v>
      </c>
      <c r="E1" s="17" t="s">
        <v>387</v>
      </c>
      <c r="F1" s="17" t="s">
        <v>388</v>
      </c>
      <c r="G1" s="17" t="s">
        <v>389</v>
      </c>
      <c r="H1" s="18" t="s">
        <v>468</v>
      </c>
    </row>
    <row r="2" spans="1:21" x14ac:dyDescent="0.3">
      <c r="A2" s="3" t="s">
        <v>351</v>
      </c>
      <c r="B2" s="3" t="s">
        <v>18</v>
      </c>
      <c r="C2" s="3">
        <v>1312</v>
      </c>
      <c r="D2" s="3">
        <v>310</v>
      </c>
      <c r="E2" s="3">
        <v>42654</v>
      </c>
      <c r="F2" s="3">
        <v>4.9800000000000004</v>
      </c>
      <c r="G2" s="3">
        <v>9566</v>
      </c>
      <c r="H2" s="13">
        <f t="shared" ref="H2:H33" si="0">C2-D2/E2*100</f>
        <v>1311.2732217377034</v>
      </c>
    </row>
    <row r="3" spans="1:21" x14ac:dyDescent="0.3">
      <c r="A3" s="3" t="s">
        <v>271</v>
      </c>
      <c r="B3" s="3" t="s">
        <v>18</v>
      </c>
      <c r="C3" s="3">
        <v>1697</v>
      </c>
      <c r="D3" s="3">
        <v>414</v>
      </c>
      <c r="E3" s="3">
        <v>316555</v>
      </c>
      <c r="F3" s="3">
        <v>2.37</v>
      </c>
      <c r="G3" s="3">
        <v>7924</v>
      </c>
      <c r="H3" s="13">
        <f t="shared" si="0"/>
        <v>1696.869217039693</v>
      </c>
      <c r="M3" s="4" t="s">
        <v>467</v>
      </c>
    </row>
    <row r="4" spans="1:21" x14ac:dyDescent="0.3">
      <c r="A4" s="3" t="s">
        <v>206</v>
      </c>
      <c r="B4" s="3" t="s">
        <v>18</v>
      </c>
      <c r="C4" s="3">
        <v>1753</v>
      </c>
      <c r="D4" s="3">
        <v>371</v>
      </c>
      <c r="E4" s="3">
        <v>169496</v>
      </c>
      <c r="F4" s="3">
        <v>8.11</v>
      </c>
      <c r="G4" s="3">
        <v>46670</v>
      </c>
      <c r="H4" s="13">
        <f t="shared" si="0"/>
        <v>1752.7811157785434</v>
      </c>
      <c r="M4" s="15" t="s">
        <v>462</v>
      </c>
      <c r="N4" s="3" t="s">
        <v>455</v>
      </c>
      <c r="O4" s="3" t="s">
        <v>456</v>
      </c>
      <c r="P4" s="3" t="s">
        <v>457</v>
      </c>
      <c r="Q4" s="3" t="s">
        <v>458</v>
      </c>
      <c r="R4" s="3" t="s">
        <v>459</v>
      </c>
      <c r="S4" s="3" t="s">
        <v>447</v>
      </c>
    </row>
    <row r="5" spans="1:21" x14ac:dyDescent="0.3">
      <c r="A5" s="3" t="s">
        <v>122</v>
      </c>
      <c r="B5" s="3" t="s">
        <v>18</v>
      </c>
      <c r="C5" s="3">
        <v>1779</v>
      </c>
      <c r="D5" s="3">
        <v>109</v>
      </c>
      <c r="E5" s="3">
        <v>26295</v>
      </c>
      <c r="F5" s="3">
        <v>9.1199999999999992</v>
      </c>
      <c r="G5" s="3">
        <v>30635</v>
      </c>
      <c r="H5" s="13">
        <f t="shared" si="0"/>
        <v>1778.5854725232934</v>
      </c>
      <c r="M5" s="16" t="s">
        <v>28</v>
      </c>
      <c r="N5" s="3">
        <v>138793</v>
      </c>
      <c r="O5" s="3">
        <v>2891.5208333333335</v>
      </c>
      <c r="P5" s="3">
        <v>1846272</v>
      </c>
      <c r="Q5" s="3">
        <v>38464</v>
      </c>
      <c r="R5" s="3">
        <v>6434</v>
      </c>
      <c r="S5" s="3">
        <v>134.04166666666666</v>
      </c>
    </row>
    <row r="6" spans="1:21" x14ac:dyDescent="0.3">
      <c r="A6" s="3" t="s">
        <v>376</v>
      </c>
      <c r="B6" s="3" t="s">
        <v>18</v>
      </c>
      <c r="C6" s="3">
        <v>505</v>
      </c>
      <c r="D6" s="3">
        <v>441</v>
      </c>
      <c r="E6" s="3">
        <v>220020</v>
      </c>
      <c r="F6" s="3">
        <v>4.4800000000000004</v>
      </c>
      <c r="G6" s="3">
        <v>42307</v>
      </c>
      <c r="H6" s="13">
        <f t="shared" si="0"/>
        <v>504.79956367602944</v>
      </c>
      <c r="M6" s="16" t="s">
        <v>30</v>
      </c>
      <c r="N6" s="3">
        <v>183346</v>
      </c>
      <c r="O6" s="3">
        <v>2736.5074626865671</v>
      </c>
      <c r="P6" s="3">
        <v>2266053</v>
      </c>
      <c r="Q6" s="3">
        <v>33821.686567164179</v>
      </c>
      <c r="R6" s="3">
        <v>10032</v>
      </c>
      <c r="S6" s="3">
        <v>149.73134328358208</v>
      </c>
    </row>
    <row r="7" spans="1:21" x14ac:dyDescent="0.3">
      <c r="A7" s="3" t="s">
        <v>390</v>
      </c>
      <c r="B7" s="3" t="s">
        <v>18</v>
      </c>
      <c r="C7" s="3">
        <v>350</v>
      </c>
      <c r="D7" s="3">
        <v>41</v>
      </c>
      <c r="E7" s="3">
        <v>251694</v>
      </c>
      <c r="F7" s="3">
        <v>1.91</v>
      </c>
      <c r="G7" s="3">
        <v>38610</v>
      </c>
      <c r="H7" s="13">
        <f t="shared" si="0"/>
        <v>349.98371037847545</v>
      </c>
      <c r="M7" s="16" t="s">
        <v>16</v>
      </c>
      <c r="N7" s="3">
        <v>159783</v>
      </c>
      <c r="O7" s="3">
        <v>2754.8793103448274</v>
      </c>
      <c r="P7" s="3">
        <v>1986356</v>
      </c>
      <c r="Q7" s="3">
        <v>34247.517241379312</v>
      </c>
      <c r="R7" s="3">
        <v>9872</v>
      </c>
      <c r="S7" s="3">
        <v>170.20689655172413</v>
      </c>
    </row>
    <row r="8" spans="1:21" x14ac:dyDescent="0.3">
      <c r="A8" s="3" t="s">
        <v>222</v>
      </c>
      <c r="B8" s="3" t="s">
        <v>18</v>
      </c>
      <c r="C8" s="3">
        <v>170</v>
      </c>
      <c r="D8" s="3">
        <v>334</v>
      </c>
      <c r="E8" s="3">
        <v>334626</v>
      </c>
      <c r="F8" s="3">
        <v>6.44</v>
      </c>
      <c r="G8" s="3">
        <v>43420</v>
      </c>
      <c r="H8" s="13">
        <f t="shared" si="0"/>
        <v>169.90018707452498</v>
      </c>
      <c r="M8" s="16" t="s">
        <v>34</v>
      </c>
      <c r="N8" s="3">
        <v>187909</v>
      </c>
      <c r="O8" s="3">
        <v>2646.605633802817</v>
      </c>
      <c r="P8" s="3">
        <v>2464864</v>
      </c>
      <c r="Q8" s="3">
        <v>34716.394366197186</v>
      </c>
      <c r="R8" s="3">
        <v>10689</v>
      </c>
      <c r="S8" s="3">
        <v>150.54929577464787</v>
      </c>
    </row>
    <row r="9" spans="1:21" x14ac:dyDescent="0.3">
      <c r="A9" s="3" t="s">
        <v>391</v>
      </c>
      <c r="B9" s="3" t="s">
        <v>18</v>
      </c>
      <c r="C9" s="3">
        <v>1391</v>
      </c>
      <c r="D9" s="3">
        <v>430</v>
      </c>
      <c r="E9" s="3">
        <v>295032</v>
      </c>
      <c r="F9" s="3">
        <v>7.86</v>
      </c>
      <c r="G9" s="3">
        <v>26067</v>
      </c>
      <c r="H9" s="13">
        <f t="shared" si="0"/>
        <v>1390.8542530979689</v>
      </c>
    </row>
    <row r="10" spans="1:21" x14ac:dyDescent="0.3">
      <c r="A10" s="3" t="s">
        <v>56</v>
      </c>
      <c r="B10" s="3" t="s">
        <v>18</v>
      </c>
      <c r="C10" s="3">
        <v>160</v>
      </c>
      <c r="D10" s="3">
        <v>478</v>
      </c>
      <c r="E10" s="3">
        <v>435034</v>
      </c>
      <c r="F10" s="3">
        <v>7.73</v>
      </c>
      <c r="G10" s="3">
        <v>4839</v>
      </c>
      <c r="H10" s="13">
        <f t="shared" si="0"/>
        <v>159.89012353057461</v>
      </c>
    </row>
    <row r="11" spans="1:21" x14ac:dyDescent="0.3">
      <c r="A11" s="3" t="s">
        <v>325</v>
      </c>
      <c r="B11" s="3" t="s">
        <v>18</v>
      </c>
      <c r="C11" s="3">
        <v>214</v>
      </c>
      <c r="D11" s="3">
        <v>411</v>
      </c>
      <c r="E11" s="3">
        <v>125034</v>
      </c>
      <c r="F11" s="3">
        <v>6.11</v>
      </c>
      <c r="G11" s="3">
        <v>26455</v>
      </c>
      <c r="H11" s="13">
        <f t="shared" si="0"/>
        <v>213.67128940928069</v>
      </c>
      <c r="N11" s="4" t="s">
        <v>466</v>
      </c>
    </row>
    <row r="12" spans="1:21" x14ac:dyDescent="0.3">
      <c r="A12" s="3" t="s">
        <v>248</v>
      </c>
      <c r="B12" s="3" t="s">
        <v>18</v>
      </c>
      <c r="C12" s="3">
        <v>1534</v>
      </c>
      <c r="D12" s="3">
        <v>200</v>
      </c>
      <c r="E12" s="3">
        <v>307612</v>
      </c>
      <c r="F12" s="3">
        <v>6.01</v>
      </c>
      <c r="G12" s="3">
        <v>37903</v>
      </c>
      <c r="H12" s="13">
        <f t="shared" si="0"/>
        <v>1533.9349830305709</v>
      </c>
      <c r="N12" s="14" t="s">
        <v>462</v>
      </c>
      <c r="O12" s="14" t="s">
        <v>450</v>
      </c>
      <c r="P12" s="14" t="s">
        <v>430</v>
      </c>
      <c r="Q12" s="14" t="s">
        <v>460</v>
      </c>
      <c r="R12" s="14" t="s">
        <v>461</v>
      </c>
      <c r="S12" s="14" t="s">
        <v>463</v>
      </c>
      <c r="T12" s="14" t="s">
        <v>464</v>
      </c>
      <c r="U12" s="14" t="s">
        <v>465</v>
      </c>
    </row>
    <row r="13" spans="1:21" x14ac:dyDescent="0.3">
      <c r="A13" s="3" t="s">
        <v>178</v>
      </c>
      <c r="B13" s="3" t="s">
        <v>18</v>
      </c>
      <c r="C13" s="3">
        <v>1078</v>
      </c>
      <c r="D13" s="3">
        <v>20</v>
      </c>
      <c r="E13" s="3">
        <v>183924</v>
      </c>
      <c r="F13" s="3">
        <v>8.84</v>
      </c>
      <c r="G13" s="3">
        <v>14203</v>
      </c>
      <c r="H13" s="13">
        <f t="shared" si="0"/>
        <v>1077.9891259433243</v>
      </c>
      <c r="N13" s="3" t="s">
        <v>28</v>
      </c>
      <c r="O13" s="3">
        <v>173901</v>
      </c>
      <c r="P13" s="3">
        <v>0.12925933904631146</v>
      </c>
      <c r="Q13" s="3" t="s">
        <v>414</v>
      </c>
      <c r="R13" s="3" t="s">
        <v>222</v>
      </c>
      <c r="S13" s="3">
        <v>150000</v>
      </c>
      <c r="T13" s="3" t="s">
        <v>416</v>
      </c>
      <c r="U13" s="3">
        <f>O13/S13</f>
        <v>1.15934</v>
      </c>
    </row>
    <row r="14" spans="1:21" x14ac:dyDescent="0.3">
      <c r="A14" s="3" t="s">
        <v>97</v>
      </c>
      <c r="B14" s="3" t="s">
        <v>18</v>
      </c>
      <c r="C14" s="3">
        <v>248</v>
      </c>
      <c r="D14" s="3">
        <v>211</v>
      </c>
      <c r="E14" s="3">
        <v>379380</v>
      </c>
      <c r="F14" s="3">
        <v>9.0399999999999991</v>
      </c>
      <c r="G14" s="3">
        <v>26925</v>
      </c>
      <c r="H14" s="13">
        <f t="shared" si="0"/>
        <v>247.94438294058727</v>
      </c>
      <c r="N14" s="3" t="s">
        <v>30</v>
      </c>
      <c r="O14" s="3">
        <v>232821</v>
      </c>
      <c r="P14" s="3">
        <v>0.14399918848283907</v>
      </c>
      <c r="Q14" s="3" t="s">
        <v>422</v>
      </c>
      <c r="R14" s="3" t="s">
        <v>278</v>
      </c>
      <c r="S14" s="3">
        <v>250000</v>
      </c>
      <c r="T14" s="3" t="s">
        <v>424</v>
      </c>
      <c r="U14" s="3">
        <f>O14/S14</f>
        <v>0.931284</v>
      </c>
    </row>
    <row r="15" spans="1:21" x14ac:dyDescent="0.3">
      <c r="A15" s="3" t="s">
        <v>363</v>
      </c>
      <c r="B15" s="3" t="s">
        <v>18</v>
      </c>
      <c r="C15" s="3">
        <v>1520</v>
      </c>
      <c r="D15" s="3">
        <v>475</v>
      </c>
      <c r="E15" s="3">
        <v>496982</v>
      </c>
      <c r="F15" s="3">
        <v>6.41</v>
      </c>
      <c r="G15" s="3">
        <v>24384</v>
      </c>
      <c r="H15" s="13">
        <f t="shared" si="0"/>
        <v>1519.9044230978184</v>
      </c>
      <c r="N15" s="3" t="s">
        <v>16</v>
      </c>
      <c r="O15" s="3">
        <v>201739</v>
      </c>
      <c r="P15" s="3">
        <v>0.14125279041043612</v>
      </c>
      <c r="Q15" s="3" t="s">
        <v>418</v>
      </c>
      <c r="R15" s="3" t="s">
        <v>19</v>
      </c>
      <c r="S15" s="3">
        <v>200000</v>
      </c>
      <c r="T15" s="3" t="s">
        <v>420</v>
      </c>
      <c r="U15" s="3">
        <f>O15/S15</f>
        <v>1.0086949999999999</v>
      </c>
    </row>
    <row r="16" spans="1:21" x14ac:dyDescent="0.3">
      <c r="A16" s="3" t="s">
        <v>285</v>
      </c>
      <c r="B16" s="3" t="s">
        <v>18</v>
      </c>
      <c r="C16" s="3">
        <v>1842</v>
      </c>
      <c r="D16" s="3">
        <v>414</v>
      </c>
      <c r="E16" s="3">
        <v>307524</v>
      </c>
      <c r="F16" s="3">
        <v>1.76</v>
      </c>
      <c r="G16" s="3">
        <v>40478</v>
      </c>
      <c r="H16" s="13">
        <f t="shared" si="0"/>
        <v>1841.8653763608695</v>
      </c>
      <c r="N16" s="3" t="s">
        <v>34</v>
      </c>
      <c r="O16" s="3">
        <v>240483</v>
      </c>
      <c r="P16" s="3">
        <v>0.15203855581054107</v>
      </c>
      <c r="Q16" s="3" t="s">
        <v>426</v>
      </c>
      <c r="R16" s="3" t="s">
        <v>405</v>
      </c>
      <c r="S16" s="3">
        <v>180000</v>
      </c>
      <c r="T16" s="3" t="s">
        <v>428</v>
      </c>
      <c r="U16" s="3">
        <f>O16/S16</f>
        <v>1.3360166666666666</v>
      </c>
    </row>
    <row r="17" spans="1:15" x14ac:dyDescent="0.3">
      <c r="A17" s="3" t="s">
        <v>392</v>
      </c>
      <c r="B17" s="3" t="s">
        <v>18</v>
      </c>
      <c r="C17" s="3">
        <v>443</v>
      </c>
      <c r="D17" s="3">
        <v>345</v>
      </c>
      <c r="E17" s="3">
        <v>474162</v>
      </c>
      <c r="F17" s="3">
        <v>9.1999999999999993</v>
      </c>
      <c r="G17" s="3">
        <v>47462</v>
      </c>
      <c r="H17" s="13">
        <f t="shared" si="0"/>
        <v>442.92724005719566</v>
      </c>
    </row>
    <row r="18" spans="1:15" x14ac:dyDescent="0.3">
      <c r="A18" s="3" t="s">
        <v>393</v>
      </c>
      <c r="B18" s="3" t="s">
        <v>18</v>
      </c>
      <c r="C18" s="3">
        <v>198</v>
      </c>
      <c r="D18" s="3">
        <v>217</v>
      </c>
      <c r="E18" s="3">
        <v>239753</v>
      </c>
      <c r="F18" s="3">
        <v>7.36</v>
      </c>
      <c r="G18" s="3">
        <v>11901</v>
      </c>
      <c r="H18" s="13">
        <f t="shared" si="0"/>
        <v>197.90949018364734</v>
      </c>
      <c r="O18" s="8"/>
    </row>
    <row r="19" spans="1:15" x14ac:dyDescent="0.3">
      <c r="A19" s="3" t="s">
        <v>394</v>
      </c>
      <c r="B19" s="3" t="s">
        <v>18</v>
      </c>
      <c r="C19" s="3">
        <v>250</v>
      </c>
      <c r="D19" s="3">
        <v>429</v>
      </c>
      <c r="E19" s="3">
        <v>453423</v>
      </c>
      <c r="F19" s="3">
        <v>1.77</v>
      </c>
      <c r="G19" s="3">
        <v>2315</v>
      </c>
      <c r="H19" s="13">
        <f t="shared" si="0"/>
        <v>249.90538636108005</v>
      </c>
    </row>
    <row r="20" spans="1:15" x14ac:dyDescent="0.3">
      <c r="A20" s="3" t="s">
        <v>395</v>
      </c>
      <c r="B20" s="3" t="s">
        <v>18</v>
      </c>
      <c r="C20" s="3">
        <v>1929</v>
      </c>
      <c r="D20" s="3">
        <v>267</v>
      </c>
      <c r="E20" s="3">
        <v>379363</v>
      </c>
      <c r="F20" s="3">
        <v>1.75</v>
      </c>
      <c r="G20" s="3">
        <v>43836</v>
      </c>
      <c r="H20" s="13">
        <f t="shared" si="0"/>
        <v>1928.9296188610908</v>
      </c>
    </row>
    <row r="21" spans="1:15" x14ac:dyDescent="0.3">
      <c r="A21" s="3" t="s">
        <v>396</v>
      </c>
      <c r="B21" s="3" t="s">
        <v>18</v>
      </c>
      <c r="C21" s="3">
        <v>643</v>
      </c>
      <c r="D21" s="3">
        <v>358</v>
      </c>
      <c r="E21" s="3">
        <v>157599</v>
      </c>
      <c r="F21" s="3">
        <v>3.88</v>
      </c>
      <c r="G21" s="3">
        <v>7285</v>
      </c>
      <c r="H21" s="13">
        <f t="shared" si="0"/>
        <v>642.77284119823094</v>
      </c>
    </row>
    <row r="22" spans="1:15" x14ac:dyDescent="0.3">
      <c r="A22" s="3" t="s">
        <v>159</v>
      </c>
      <c r="B22" s="3" t="s">
        <v>18</v>
      </c>
      <c r="C22" s="3">
        <v>508</v>
      </c>
      <c r="D22" s="3">
        <v>69</v>
      </c>
      <c r="E22" s="3">
        <v>23492</v>
      </c>
      <c r="F22" s="3">
        <v>3.16</v>
      </c>
      <c r="G22" s="3">
        <v>42824</v>
      </c>
      <c r="H22" s="13">
        <f t="shared" si="0"/>
        <v>507.70628298995405</v>
      </c>
    </row>
    <row r="23" spans="1:15" x14ac:dyDescent="0.3">
      <c r="A23" s="3" t="s">
        <v>72</v>
      </c>
      <c r="B23" s="3" t="s">
        <v>18</v>
      </c>
      <c r="C23" s="3">
        <v>859</v>
      </c>
      <c r="D23" s="3">
        <v>473</v>
      </c>
      <c r="E23" s="3">
        <v>209987</v>
      </c>
      <c r="F23" s="3">
        <v>4.46</v>
      </c>
      <c r="G23" s="3">
        <v>30214</v>
      </c>
      <c r="H23" s="13">
        <f t="shared" si="0"/>
        <v>858.774747960588</v>
      </c>
    </row>
    <row r="24" spans="1:15" x14ac:dyDescent="0.3">
      <c r="A24" s="3" t="s">
        <v>333</v>
      </c>
      <c r="B24" s="3" t="s">
        <v>18</v>
      </c>
      <c r="C24" s="3">
        <v>947</v>
      </c>
      <c r="D24" s="3">
        <v>407</v>
      </c>
      <c r="E24" s="3">
        <v>319186</v>
      </c>
      <c r="F24" s="3">
        <v>3.32</v>
      </c>
      <c r="G24" s="3">
        <v>4996</v>
      </c>
      <c r="H24" s="13">
        <f t="shared" si="0"/>
        <v>946.87248814171051</v>
      </c>
    </row>
    <row r="25" spans="1:15" x14ac:dyDescent="0.3">
      <c r="A25" s="3" t="s">
        <v>397</v>
      </c>
      <c r="B25" s="3" t="s">
        <v>18</v>
      </c>
      <c r="C25" s="3">
        <v>171</v>
      </c>
      <c r="D25" s="3">
        <v>277</v>
      </c>
      <c r="E25" s="3">
        <v>309483</v>
      </c>
      <c r="F25" s="3">
        <v>8.6999999999999993</v>
      </c>
      <c r="G25" s="3">
        <v>38452</v>
      </c>
      <c r="H25" s="13">
        <f t="shared" si="0"/>
        <v>170.91049589153525</v>
      </c>
    </row>
    <row r="26" spans="1:15" x14ac:dyDescent="0.3">
      <c r="A26" s="3" t="s">
        <v>188</v>
      </c>
      <c r="B26" s="3" t="s">
        <v>18</v>
      </c>
      <c r="C26" s="3">
        <v>513</v>
      </c>
      <c r="D26" s="3">
        <v>441</v>
      </c>
      <c r="E26" s="3">
        <v>338847</v>
      </c>
      <c r="F26" s="3">
        <v>2.68</v>
      </c>
      <c r="G26" s="3">
        <v>39997</v>
      </c>
      <c r="H26" s="13">
        <f t="shared" si="0"/>
        <v>512.86985276540736</v>
      </c>
    </row>
    <row r="27" spans="1:15" x14ac:dyDescent="0.3">
      <c r="A27" s="3" t="s">
        <v>105</v>
      </c>
      <c r="B27" s="3" t="s">
        <v>18</v>
      </c>
      <c r="C27" s="3">
        <v>1710</v>
      </c>
      <c r="D27" s="3">
        <v>378</v>
      </c>
      <c r="E27" s="3">
        <v>336661</v>
      </c>
      <c r="F27" s="3">
        <v>6.2</v>
      </c>
      <c r="G27" s="3">
        <v>28498</v>
      </c>
      <c r="H27" s="13">
        <f t="shared" si="0"/>
        <v>1709.8877208824306</v>
      </c>
    </row>
    <row r="28" spans="1:15" x14ac:dyDescent="0.3">
      <c r="A28" s="3" t="s">
        <v>398</v>
      </c>
      <c r="B28" s="3" t="s">
        <v>18</v>
      </c>
      <c r="C28" s="3">
        <v>1902</v>
      </c>
      <c r="D28" s="3">
        <v>196</v>
      </c>
      <c r="E28" s="3">
        <v>470269</v>
      </c>
      <c r="F28" s="3">
        <v>4.79</v>
      </c>
      <c r="G28" s="3">
        <v>26103</v>
      </c>
      <c r="H28" s="13">
        <f t="shared" si="0"/>
        <v>1901.9583217265013</v>
      </c>
    </row>
    <row r="29" spans="1:15" x14ac:dyDescent="0.3">
      <c r="A29" s="3" t="s">
        <v>281</v>
      </c>
      <c r="B29" s="3" t="s">
        <v>18</v>
      </c>
      <c r="C29" s="3">
        <v>1514</v>
      </c>
      <c r="D29" s="3">
        <v>141</v>
      </c>
      <c r="E29" s="3">
        <v>35842</v>
      </c>
      <c r="F29" s="3">
        <v>7.47</v>
      </c>
      <c r="G29" s="3">
        <v>18601</v>
      </c>
      <c r="H29" s="13">
        <f t="shared" si="0"/>
        <v>1513.6066067741756</v>
      </c>
    </row>
    <row r="30" spans="1:15" x14ac:dyDescent="0.3">
      <c r="A30" s="3" t="s">
        <v>213</v>
      </c>
      <c r="B30" s="3" t="s">
        <v>18</v>
      </c>
      <c r="C30" s="3">
        <v>1623</v>
      </c>
      <c r="D30" s="3">
        <v>246</v>
      </c>
      <c r="E30" s="3">
        <v>415815</v>
      </c>
      <c r="F30" s="3">
        <v>8.11</v>
      </c>
      <c r="G30" s="3">
        <v>18656</v>
      </c>
      <c r="H30" s="13">
        <f t="shared" si="0"/>
        <v>1622.9408390750693</v>
      </c>
    </row>
    <row r="31" spans="1:15" x14ac:dyDescent="0.3">
      <c r="A31" s="3" t="s">
        <v>135</v>
      </c>
      <c r="B31" s="3" t="s">
        <v>18</v>
      </c>
      <c r="C31" s="3">
        <v>1155</v>
      </c>
      <c r="D31" s="3">
        <v>425</v>
      </c>
      <c r="E31" s="3">
        <v>93347</v>
      </c>
      <c r="F31" s="3">
        <v>2.02</v>
      </c>
      <c r="G31" s="3">
        <v>47502</v>
      </c>
      <c r="H31" s="13">
        <f t="shared" si="0"/>
        <v>1154.5447095246768</v>
      </c>
    </row>
    <row r="32" spans="1:15" x14ac:dyDescent="0.3">
      <c r="A32" s="3" t="s">
        <v>399</v>
      </c>
      <c r="B32" s="3" t="s">
        <v>18</v>
      </c>
      <c r="C32" s="3">
        <v>1980</v>
      </c>
      <c r="D32" s="3">
        <v>204</v>
      </c>
      <c r="E32" s="3">
        <v>379431</v>
      </c>
      <c r="F32" s="3">
        <v>3.09</v>
      </c>
      <c r="G32" s="3">
        <v>25140</v>
      </c>
      <c r="H32" s="13">
        <f t="shared" si="0"/>
        <v>1979.9462352838857</v>
      </c>
    </row>
    <row r="33" spans="1:13" x14ac:dyDescent="0.3">
      <c r="A33" s="3" t="s">
        <v>319</v>
      </c>
      <c r="B33" s="3" t="s">
        <v>18</v>
      </c>
      <c r="C33" s="3">
        <v>816</v>
      </c>
      <c r="D33" s="3">
        <v>196</v>
      </c>
      <c r="E33" s="3">
        <v>95728</v>
      </c>
      <c r="F33" s="3">
        <v>8.1999999999999993</v>
      </c>
      <c r="G33" s="3">
        <v>17951</v>
      </c>
      <c r="H33" s="13">
        <f t="shared" si="0"/>
        <v>815.79525321744939</v>
      </c>
    </row>
    <row r="34" spans="1:13" x14ac:dyDescent="0.3">
      <c r="A34" s="3" t="s">
        <v>400</v>
      </c>
      <c r="B34" s="3" t="s">
        <v>18</v>
      </c>
      <c r="C34" s="3">
        <v>651</v>
      </c>
      <c r="D34" s="3">
        <v>353</v>
      </c>
      <c r="E34" s="3">
        <v>224699</v>
      </c>
      <c r="F34" s="3">
        <v>5.61</v>
      </c>
      <c r="G34" s="3">
        <v>45708</v>
      </c>
      <c r="H34" s="13">
        <f t="shared" ref="H34:H65" si="1">C34-D34/E34*100</f>
        <v>650.84290094748974</v>
      </c>
    </row>
    <row r="35" spans="1:13" x14ac:dyDescent="0.3">
      <c r="A35" s="3" t="s">
        <v>401</v>
      </c>
      <c r="B35" s="3" t="s">
        <v>18</v>
      </c>
      <c r="C35" s="3">
        <v>663</v>
      </c>
      <c r="D35" s="3">
        <v>236</v>
      </c>
      <c r="E35" s="3">
        <v>479490</v>
      </c>
      <c r="F35" s="3">
        <v>4.51</v>
      </c>
      <c r="G35" s="3">
        <v>23853</v>
      </c>
      <c r="H35" s="13">
        <f t="shared" si="1"/>
        <v>662.95078103818639</v>
      </c>
      <c r="M35" s="4" t="s">
        <v>1890</v>
      </c>
    </row>
    <row r="36" spans="1:13" x14ac:dyDescent="0.3">
      <c r="A36" s="3" t="s">
        <v>93</v>
      </c>
      <c r="B36" s="3" t="s">
        <v>18</v>
      </c>
      <c r="C36" s="3">
        <v>1249</v>
      </c>
      <c r="D36" s="3">
        <v>351</v>
      </c>
      <c r="E36" s="3">
        <v>321307</v>
      </c>
      <c r="F36" s="3">
        <v>6.37</v>
      </c>
      <c r="G36" s="3">
        <v>20560</v>
      </c>
      <c r="H36" s="13">
        <f t="shared" si="1"/>
        <v>1248.8907586825062</v>
      </c>
    </row>
    <row r="37" spans="1:13" x14ac:dyDescent="0.3">
      <c r="A37" s="3" t="s">
        <v>402</v>
      </c>
      <c r="B37" s="3" t="s">
        <v>18</v>
      </c>
      <c r="C37" s="3">
        <v>1159</v>
      </c>
      <c r="D37" s="3">
        <v>411</v>
      </c>
      <c r="E37" s="3">
        <v>135987</v>
      </c>
      <c r="F37" s="3">
        <v>8.6999999999999993</v>
      </c>
      <c r="G37" s="3">
        <v>40323</v>
      </c>
      <c r="H37" s="13">
        <f t="shared" si="1"/>
        <v>1158.6977652275584</v>
      </c>
    </row>
    <row r="38" spans="1:13" x14ac:dyDescent="0.3">
      <c r="A38" s="3" t="s">
        <v>275</v>
      </c>
      <c r="B38" s="3" t="s">
        <v>18</v>
      </c>
      <c r="C38" s="3">
        <v>1294</v>
      </c>
      <c r="D38" s="3">
        <v>382</v>
      </c>
      <c r="E38" s="3">
        <v>309914</v>
      </c>
      <c r="F38" s="3">
        <v>8.0299999999999994</v>
      </c>
      <c r="G38" s="3">
        <v>23489</v>
      </c>
      <c r="H38" s="13">
        <f t="shared" si="1"/>
        <v>1293.8767399988383</v>
      </c>
    </row>
    <row r="39" spans="1:13" x14ac:dyDescent="0.3">
      <c r="A39" s="3" t="s">
        <v>210</v>
      </c>
      <c r="B39" s="3" t="s">
        <v>18</v>
      </c>
      <c r="C39" s="3">
        <v>1895</v>
      </c>
      <c r="D39" s="3">
        <v>305</v>
      </c>
      <c r="E39" s="3">
        <v>104967</v>
      </c>
      <c r="F39" s="3">
        <v>3.85</v>
      </c>
      <c r="G39" s="3">
        <v>31853</v>
      </c>
      <c r="H39" s="13">
        <f t="shared" si="1"/>
        <v>1894.7094324883058</v>
      </c>
    </row>
    <row r="40" spans="1:13" x14ac:dyDescent="0.3">
      <c r="A40" s="3" t="s">
        <v>131</v>
      </c>
      <c r="B40" s="3" t="s">
        <v>18</v>
      </c>
      <c r="C40" s="3">
        <v>1884</v>
      </c>
      <c r="D40" s="3">
        <v>177</v>
      </c>
      <c r="E40" s="3">
        <v>230448</v>
      </c>
      <c r="F40" s="3">
        <v>7.8</v>
      </c>
      <c r="G40" s="3">
        <v>22713</v>
      </c>
      <c r="H40" s="13">
        <f t="shared" si="1"/>
        <v>1883.9231930847741</v>
      </c>
    </row>
    <row r="41" spans="1:13" x14ac:dyDescent="0.3">
      <c r="A41" s="3" t="s">
        <v>355</v>
      </c>
      <c r="B41" s="3" t="s">
        <v>18</v>
      </c>
      <c r="C41" s="3">
        <v>345</v>
      </c>
      <c r="D41" s="3">
        <v>464</v>
      </c>
      <c r="E41" s="3">
        <v>366881</v>
      </c>
      <c r="F41" s="3">
        <v>4.55</v>
      </c>
      <c r="G41" s="3">
        <v>20553</v>
      </c>
      <c r="H41" s="13">
        <f t="shared" si="1"/>
        <v>344.87352847381032</v>
      </c>
    </row>
    <row r="42" spans="1:13" x14ac:dyDescent="0.3">
      <c r="A42" s="3" t="s">
        <v>403</v>
      </c>
      <c r="B42" s="3" t="s">
        <v>18</v>
      </c>
      <c r="C42" s="3">
        <v>1098</v>
      </c>
      <c r="D42" s="3">
        <v>190</v>
      </c>
      <c r="E42" s="3">
        <v>340842</v>
      </c>
      <c r="F42" s="3">
        <v>9.39</v>
      </c>
      <c r="G42" s="3">
        <v>21539</v>
      </c>
      <c r="H42" s="13">
        <f t="shared" si="1"/>
        <v>1097.9442556961876</v>
      </c>
    </row>
    <row r="43" spans="1:13" x14ac:dyDescent="0.3">
      <c r="A43" s="3" t="s">
        <v>404</v>
      </c>
      <c r="B43" s="3" t="s">
        <v>18</v>
      </c>
      <c r="C43" s="3">
        <v>1358</v>
      </c>
      <c r="D43" s="3">
        <v>242</v>
      </c>
      <c r="E43" s="3">
        <v>342129</v>
      </c>
      <c r="F43" s="3">
        <v>4.9400000000000004</v>
      </c>
      <c r="G43" s="3">
        <v>29116</v>
      </c>
      <c r="H43" s="13">
        <f t="shared" si="1"/>
        <v>1357.9292664462819</v>
      </c>
    </row>
    <row r="44" spans="1:13" x14ac:dyDescent="0.3">
      <c r="A44" s="3" t="s">
        <v>128</v>
      </c>
      <c r="B44" s="3" t="s">
        <v>18</v>
      </c>
      <c r="C44" s="3">
        <v>609</v>
      </c>
      <c r="D44" s="3">
        <v>135</v>
      </c>
      <c r="E44" s="3">
        <v>373606</v>
      </c>
      <c r="F44" s="3">
        <v>8.52</v>
      </c>
      <c r="G44" s="3">
        <v>21453</v>
      </c>
      <c r="H44" s="13">
        <f t="shared" si="1"/>
        <v>608.96386567667548</v>
      </c>
    </row>
    <row r="45" spans="1:13" x14ac:dyDescent="0.3">
      <c r="A45" s="3" t="s">
        <v>405</v>
      </c>
      <c r="B45" s="3" t="s">
        <v>18</v>
      </c>
      <c r="C45" s="3">
        <v>988</v>
      </c>
      <c r="D45" s="3">
        <v>474</v>
      </c>
      <c r="E45" s="3">
        <v>370070</v>
      </c>
      <c r="F45" s="3">
        <v>9.4600000000000009</v>
      </c>
      <c r="G45" s="3">
        <v>23461</v>
      </c>
      <c r="H45" s="13">
        <f t="shared" si="1"/>
        <v>987.87191612397658</v>
      </c>
    </row>
    <row r="46" spans="1:13" x14ac:dyDescent="0.3">
      <c r="A46" s="3" t="s">
        <v>304</v>
      </c>
      <c r="B46" s="3" t="s">
        <v>18</v>
      </c>
      <c r="C46" s="3">
        <v>1307</v>
      </c>
      <c r="D46" s="3">
        <v>278</v>
      </c>
      <c r="E46" s="3">
        <v>98596</v>
      </c>
      <c r="F46" s="3">
        <v>2.4900000000000002</v>
      </c>
      <c r="G46" s="3">
        <v>47603</v>
      </c>
      <c r="H46" s="13">
        <f t="shared" si="1"/>
        <v>1306.7180412998498</v>
      </c>
    </row>
    <row r="47" spans="1:13" x14ac:dyDescent="0.3">
      <c r="A47" s="3" t="s">
        <v>406</v>
      </c>
      <c r="B47" s="3" t="s">
        <v>18</v>
      </c>
      <c r="C47" s="3">
        <v>198</v>
      </c>
      <c r="D47" s="3">
        <v>373</v>
      </c>
      <c r="E47" s="3">
        <v>70707</v>
      </c>
      <c r="F47" s="3">
        <v>4.83</v>
      </c>
      <c r="G47" s="3">
        <v>25920</v>
      </c>
      <c r="H47" s="13">
        <f t="shared" si="1"/>
        <v>197.47247090104233</v>
      </c>
    </row>
    <row r="48" spans="1:13" x14ac:dyDescent="0.3">
      <c r="A48" s="3" t="s">
        <v>407</v>
      </c>
      <c r="B48" s="3" t="s">
        <v>18</v>
      </c>
      <c r="C48" s="3">
        <v>1375</v>
      </c>
      <c r="D48" s="3">
        <v>330</v>
      </c>
      <c r="E48" s="3">
        <v>377382</v>
      </c>
      <c r="F48" s="3">
        <v>2.6</v>
      </c>
      <c r="G48" s="3">
        <v>7875</v>
      </c>
      <c r="H48" s="13">
        <f t="shared" si="1"/>
        <v>1374.9125554477955</v>
      </c>
    </row>
    <row r="49" spans="1:8" x14ac:dyDescent="0.3">
      <c r="A49" s="3" t="s">
        <v>76</v>
      </c>
      <c r="B49" s="3" t="s">
        <v>18</v>
      </c>
      <c r="C49" s="3">
        <v>833</v>
      </c>
      <c r="D49" s="3">
        <v>380</v>
      </c>
      <c r="E49" s="3">
        <v>224830</v>
      </c>
      <c r="F49" s="3">
        <v>3.86</v>
      </c>
      <c r="G49" s="3">
        <v>3582</v>
      </c>
      <c r="H49" s="13">
        <f t="shared" si="1"/>
        <v>832.83098340968729</v>
      </c>
    </row>
    <row r="50" spans="1:8" x14ac:dyDescent="0.3">
      <c r="A50" s="3" t="s">
        <v>329</v>
      </c>
      <c r="B50" s="3" t="s">
        <v>18</v>
      </c>
      <c r="C50" s="3">
        <v>405</v>
      </c>
      <c r="D50" s="3">
        <v>66</v>
      </c>
      <c r="E50" s="3">
        <v>418696</v>
      </c>
      <c r="F50" s="3">
        <v>5.59</v>
      </c>
      <c r="G50" s="3">
        <v>48419</v>
      </c>
      <c r="H50" s="13">
        <f t="shared" si="1"/>
        <v>404.98423677321972</v>
      </c>
    </row>
    <row r="51" spans="1:8" x14ac:dyDescent="0.3">
      <c r="A51" s="3" t="s">
        <v>252</v>
      </c>
      <c r="B51" s="3" t="s">
        <v>18</v>
      </c>
      <c r="C51" s="3">
        <v>837</v>
      </c>
      <c r="D51" s="3">
        <v>430</v>
      </c>
      <c r="E51" s="3">
        <v>364820</v>
      </c>
      <c r="F51" s="3">
        <v>4</v>
      </c>
      <c r="G51" s="3">
        <v>49400</v>
      </c>
      <c r="H51" s="13">
        <f t="shared" si="1"/>
        <v>836.88213365495312</v>
      </c>
    </row>
    <row r="52" spans="1:8" x14ac:dyDescent="0.3">
      <c r="A52" s="3" t="s">
        <v>351</v>
      </c>
      <c r="B52" s="3" t="s">
        <v>38</v>
      </c>
      <c r="C52" s="3">
        <v>1135</v>
      </c>
      <c r="D52" s="3">
        <v>88</v>
      </c>
      <c r="E52" s="3">
        <v>344084</v>
      </c>
      <c r="F52" s="3">
        <v>8.06</v>
      </c>
      <c r="G52" s="3">
        <v>5904</v>
      </c>
      <c r="H52" s="13">
        <f t="shared" si="1"/>
        <v>1134.9744248497459</v>
      </c>
    </row>
    <row r="53" spans="1:8" x14ac:dyDescent="0.3">
      <c r="A53" s="3" t="s">
        <v>271</v>
      </c>
      <c r="B53" s="3" t="s">
        <v>38</v>
      </c>
      <c r="C53" s="3">
        <v>656</v>
      </c>
      <c r="D53" s="3">
        <v>139</v>
      </c>
      <c r="E53" s="3">
        <v>49157</v>
      </c>
      <c r="F53" s="3">
        <v>9.0500000000000007</v>
      </c>
      <c r="G53" s="3">
        <v>9920</v>
      </c>
      <c r="H53" s="13">
        <f t="shared" si="1"/>
        <v>655.71723254063511</v>
      </c>
    </row>
    <row r="54" spans="1:8" x14ac:dyDescent="0.3">
      <c r="A54" s="3" t="s">
        <v>206</v>
      </c>
      <c r="B54" s="3" t="s">
        <v>38</v>
      </c>
      <c r="C54" s="3">
        <v>1048</v>
      </c>
      <c r="D54" s="3">
        <v>155</v>
      </c>
      <c r="E54" s="3">
        <v>456946</v>
      </c>
      <c r="F54" s="3">
        <v>2.46</v>
      </c>
      <c r="G54" s="3">
        <v>11329</v>
      </c>
      <c r="H54" s="13">
        <f t="shared" si="1"/>
        <v>1047.9660791428309</v>
      </c>
    </row>
    <row r="55" spans="1:8" x14ac:dyDescent="0.3">
      <c r="A55" s="3" t="s">
        <v>122</v>
      </c>
      <c r="B55" s="3" t="s">
        <v>38</v>
      </c>
      <c r="C55" s="3">
        <v>911</v>
      </c>
      <c r="D55" s="3">
        <v>282</v>
      </c>
      <c r="E55" s="3">
        <v>35664</v>
      </c>
      <c r="F55" s="3">
        <v>6.92</v>
      </c>
      <c r="G55" s="3">
        <v>18050</v>
      </c>
      <c r="H55" s="13">
        <f t="shared" si="1"/>
        <v>910.20928667563931</v>
      </c>
    </row>
    <row r="56" spans="1:8" x14ac:dyDescent="0.3">
      <c r="A56" s="3" t="s">
        <v>376</v>
      </c>
      <c r="B56" s="3" t="s">
        <v>38</v>
      </c>
      <c r="C56" s="3">
        <v>226</v>
      </c>
      <c r="D56" s="3">
        <v>445</v>
      </c>
      <c r="E56" s="3">
        <v>419447</v>
      </c>
      <c r="F56" s="3">
        <v>9.36</v>
      </c>
      <c r="G56" s="3">
        <v>9566</v>
      </c>
      <c r="H56" s="13">
        <f t="shared" si="1"/>
        <v>225.89390793115697</v>
      </c>
    </row>
    <row r="57" spans="1:8" x14ac:dyDescent="0.3">
      <c r="A57" s="3" t="s">
        <v>390</v>
      </c>
      <c r="B57" s="3" t="s">
        <v>38</v>
      </c>
      <c r="C57" s="3">
        <v>1757</v>
      </c>
      <c r="D57" s="3">
        <v>85</v>
      </c>
      <c r="E57" s="3">
        <v>58223</v>
      </c>
      <c r="F57" s="3">
        <v>8.74</v>
      </c>
      <c r="G57" s="3">
        <v>22728</v>
      </c>
      <c r="H57" s="13">
        <f t="shared" si="1"/>
        <v>1756.8540095838414</v>
      </c>
    </row>
    <row r="58" spans="1:8" x14ac:dyDescent="0.3">
      <c r="A58" s="3" t="s">
        <v>222</v>
      </c>
      <c r="B58" s="3" t="s">
        <v>38</v>
      </c>
      <c r="C58" s="3">
        <v>1960</v>
      </c>
      <c r="D58" s="3">
        <v>115</v>
      </c>
      <c r="E58" s="3">
        <v>154169</v>
      </c>
      <c r="F58" s="3">
        <v>3.74</v>
      </c>
      <c r="G58" s="3">
        <v>10740</v>
      </c>
      <c r="H58" s="13">
        <f t="shared" si="1"/>
        <v>1959.9254065343875</v>
      </c>
    </row>
    <row r="59" spans="1:8" x14ac:dyDescent="0.3">
      <c r="A59" s="3" t="s">
        <v>391</v>
      </c>
      <c r="B59" s="3" t="s">
        <v>38</v>
      </c>
      <c r="C59" s="3">
        <v>508</v>
      </c>
      <c r="D59" s="3">
        <v>349</v>
      </c>
      <c r="E59" s="3">
        <v>473812</v>
      </c>
      <c r="F59" s="3">
        <v>7.88</v>
      </c>
      <c r="G59" s="3">
        <v>17328</v>
      </c>
      <c r="H59" s="13">
        <f t="shared" si="1"/>
        <v>507.92634209348853</v>
      </c>
    </row>
    <row r="60" spans="1:8" x14ac:dyDescent="0.3">
      <c r="A60" s="3" t="s">
        <v>56</v>
      </c>
      <c r="B60" s="3" t="s">
        <v>38</v>
      </c>
      <c r="C60" s="3">
        <v>653</v>
      </c>
      <c r="D60" s="3">
        <v>112</v>
      </c>
      <c r="E60" s="3">
        <v>23664</v>
      </c>
      <c r="F60" s="3">
        <v>4.05</v>
      </c>
      <c r="G60" s="3">
        <v>15353</v>
      </c>
      <c r="H60" s="13">
        <f t="shared" si="1"/>
        <v>652.52670723461802</v>
      </c>
    </row>
    <row r="61" spans="1:8" x14ac:dyDescent="0.3">
      <c r="A61" s="3" t="s">
        <v>325</v>
      </c>
      <c r="B61" s="3" t="s">
        <v>38</v>
      </c>
      <c r="C61" s="3">
        <v>645</v>
      </c>
      <c r="D61" s="3">
        <v>293</v>
      </c>
      <c r="E61" s="3">
        <v>437968</v>
      </c>
      <c r="F61" s="3">
        <v>7.83</v>
      </c>
      <c r="G61" s="3">
        <v>49303</v>
      </c>
      <c r="H61" s="13">
        <f t="shared" si="1"/>
        <v>644.93310013516964</v>
      </c>
    </row>
    <row r="62" spans="1:8" x14ac:dyDescent="0.3">
      <c r="A62" s="3" t="s">
        <v>248</v>
      </c>
      <c r="B62" s="3" t="s">
        <v>38</v>
      </c>
      <c r="C62" s="3">
        <v>1528</v>
      </c>
      <c r="D62" s="3">
        <v>203</v>
      </c>
      <c r="E62" s="3">
        <v>489188</v>
      </c>
      <c r="F62" s="3">
        <v>6.23</v>
      </c>
      <c r="G62" s="3">
        <v>47101</v>
      </c>
      <c r="H62" s="13">
        <f t="shared" si="1"/>
        <v>1527.9585026615534</v>
      </c>
    </row>
    <row r="63" spans="1:8" x14ac:dyDescent="0.3">
      <c r="A63" s="3" t="s">
        <v>178</v>
      </c>
      <c r="B63" s="3" t="s">
        <v>38</v>
      </c>
      <c r="C63" s="3">
        <v>215</v>
      </c>
      <c r="D63" s="3">
        <v>139</v>
      </c>
      <c r="E63" s="3">
        <v>325444</v>
      </c>
      <c r="F63" s="3">
        <v>3.25</v>
      </c>
      <c r="G63" s="3">
        <v>35501</v>
      </c>
      <c r="H63" s="13">
        <f t="shared" si="1"/>
        <v>214.9572891188653</v>
      </c>
    </row>
    <row r="64" spans="1:8" x14ac:dyDescent="0.3">
      <c r="A64" s="3" t="s">
        <v>97</v>
      </c>
      <c r="B64" s="3" t="s">
        <v>38</v>
      </c>
      <c r="C64" s="3">
        <v>1685</v>
      </c>
      <c r="D64" s="3">
        <v>76</v>
      </c>
      <c r="E64" s="3">
        <v>453799</v>
      </c>
      <c r="F64" s="3">
        <v>5.71</v>
      </c>
      <c r="G64" s="3">
        <v>24913</v>
      </c>
      <c r="H64" s="13">
        <f t="shared" si="1"/>
        <v>1684.983252497251</v>
      </c>
    </row>
    <row r="65" spans="1:8" x14ac:dyDescent="0.3">
      <c r="A65" s="3" t="s">
        <v>363</v>
      </c>
      <c r="B65" s="3" t="s">
        <v>38</v>
      </c>
      <c r="C65" s="3">
        <v>1429</v>
      </c>
      <c r="D65" s="3">
        <v>182</v>
      </c>
      <c r="E65" s="3">
        <v>101332</v>
      </c>
      <c r="F65" s="3">
        <v>7.16</v>
      </c>
      <c r="G65" s="3">
        <v>37829</v>
      </c>
      <c r="H65" s="13">
        <f t="shared" si="1"/>
        <v>1428.8203923735839</v>
      </c>
    </row>
    <row r="66" spans="1:8" x14ac:dyDescent="0.3">
      <c r="A66" s="3" t="s">
        <v>285</v>
      </c>
      <c r="B66" s="3" t="s">
        <v>38</v>
      </c>
      <c r="C66" s="3">
        <v>1592</v>
      </c>
      <c r="D66" s="3">
        <v>20</v>
      </c>
      <c r="E66" s="3">
        <v>378054</v>
      </c>
      <c r="F66" s="3">
        <v>9.09</v>
      </c>
      <c r="G66" s="3">
        <v>26663</v>
      </c>
      <c r="H66" s="13">
        <f t="shared" ref="H66:H97" si="2">C66-D66/E66*100</f>
        <v>1591.9947097504589</v>
      </c>
    </row>
    <row r="67" spans="1:8" x14ac:dyDescent="0.3">
      <c r="A67" s="3" t="s">
        <v>392</v>
      </c>
      <c r="B67" s="3" t="s">
        <v>38</v>
      </c>
      <c r="C67" s="3">
        <v>778</v>
      </c>
      <c r="D67" s="3">
        <v>401</v>
      </c>
      <c r="E67" s="3">
        <v>50793</v>
      </c>
      <c r="F67" s="3">
        <v>3.4</v>
      </c>
      <c r="G67" s="3">
        <v>21939</v>
      </c>
      <c r="H67" s="13">
        <f t="shared" si="2"/>
        <v>777.21052113480209</v>
      </c>
    </row>
    <row r="68" spans="1:8" x14ac:dyDescent="0.3">
      <c r="A68" s="3" t="s">
        <v>393</v>
      </c>
      <c r="B68" s="3" t="s">
        <v>38</v>
      </c>
      <c r="C68" s="3">
        <v>817</v>
      </c>
      <c r="D68" s="3">
        <v>151</v>
      </c>
      <c r="E68" s="3">
        <v>422625</v>
      </c>
      <c r="F68" s="3">
        <v>2.36</v>
      </c>
      <c r="G68" s="3">
        <v>1083</v>
      </c>
      <c r="H68" s="13">
        <f t="shared" si="2"/>
        <v>816.96427092576164</v>
      </c>
    </row>
    <row r="69" spans="1:8" x14ac:dyDescent="0.3">
      <c r="A69" s="3" t="s">
        <v>394</v>
      </c>
      <c r="B69" s="3" t="s">
        <v>38</v>
      </c>
      <c r="C69" s="3">
        <v>1433</v>
      </c>
      <c r="D69" s="3">
        <v>408</v>
      </c>
      <c r="E69" s="3">
        <v>370269</v>
      </c>
      <c r="F69" s="3">
        <v>3.3</v>
      </c>
      <c r="G69" s="3">
        <v>30575</v>
      </c>
      <c r="H69" s="13">
        <f t="shared" si="2"/>
        <v>1432.8898098409534</v>
      </c>
    </row>
    <row r="70" spans="1:8" x14ac:dyDescent="0.3">
      <c r="A70" s="3" t="s">
        <v>395</v>
      </c>
      <c r="B70" s="3" t="s">
        <v>38</v>
      </c>
      <c r="C70" s="3">
        <v>1939</v>
      </c>
      <c r="D70" s="3">
        <v>67</v>
      </c>
      <c r="E70" s="3">
        <v>187183</v>
      </c>
      <c r="F70" s="3">
        <v>6.25</v>
      </c>
      <c r="G70" s="3">
        <v>41215</v>
      </c>
      <c r="H70" s="13">
        <f t="shared" si="2"/>
        <v>1938.9642061511997</v>
      </c>
    </row>
    <row r="71" spans="1:8" x14ac:dyDescent="0.3">
      <c r="A71" s="3" t="s">
        <v>396</v>
      </c>
      <c r="B71" s="3" t="s">
        <v>38</v>
      </c>
      <c r="C71" s="3">
        <v>1527</v>
      </c>
      <c r="D71" s="3">
        <v>303</v>
      </c>
      <c r="E71" s="3">
        <v>388555</v>
      </c>
      <c r="F71" s="3">
        <v>8.9</v>
      </c>
      <c r="G71" s="3">
        <v>36397</v>
      </c>
      <c r="H71" s="13">
        <f t="shared" si="2"/>
        <v>1526.9220187618228</v>
      </c>
    </row>
    <row r="72" spans="1:8" x14ac:dyDescent="0.3">
      <c r="A72" s="3" t="s">
        <v>159</v>
      </c>
      <c r="B72" s="3" t="s">
        <v>38</v>
      </c>
      <c r="C72" s="3">
        <v>703</v>
      </c>
      <c r="D72" s="3">
        <v>441</v>
      </c>
      <c r="E72" s="3">
        <v>357089</v>
      </c>
      <c r="F72" s="3">
        <v>6.5</v>
      </c>
      <c r="G72" s="3">
        <v>32478</v>
      </c>
      <c r="H72" s="13">
        <f t="shared" si="2"/>
        <v>702.87650137640753</v>
      </c>
    </row>
    <row r="73" spans="1:8" x14ac:dyDescent="0.3">
      <c r="A73" s="3" t="s">
        <v>72</v>
      </c>
      <c r="B73" s="3" t="s">
        <v>38</v>
      </c>
      <c r="C73" s="3">
        <v>642</v>
      </c>
      <c r="D73" s="3">
        <v>66</v>
      </c>
      <c r="E73" s="3">
        <v>346522</v>
      </c>
      <c r="F73" s="3">
        <v>5.85</v>
      </c>
      <c r="G73" s="3">
        <v>13116</v>
      </c>
      <c r="H73" s="13">
        <f t="shared" si="2"/>
        <v>641.98095359024819</v>
      </c>
    </row>
    <row r="74" spans="1:8" x14ac:dyDescent="0.3">
      <c r="A74" s="3" t="s">
        <v>333</v>
      </c>
      <c r="B74" s="3" t="s">
        <v>38</v>
      </c>
      <c r="C74" s="3">
        <v>1466</v>
      </c>
      <c r="D74" s="3">
        <v>69</v>
      </c>
      <c r="E74" s="3">
        <v>54935</v>
      </c>
      <c r="F74" s="3">
        <v>6.85</v>
      </c>
      <c r="G74" s="3">
        <v>36484</v>
      </c>
      <c r="H74" s="13">
        <f t="shared" si="2"/>
        <v>1465.8743970146536</v>
      </c>
    </row>
    <row r="75" spans="1:8" x14ac:dyDescent="0.3">
      <c r="A75" s="3" t="s">
        <v>397</v>
      </c>
      <c r="B75" s="3" t="s">
        <v>38</v>
      </c>
      <c r="C75" s="3">
        <v>1075</v>
      </c>
      <c r="D75" s="3">
        <v>173</v>
      </c>
      <c r="E75" s="3">
        <v>51395</v>
      </c>
      <c r="F75" s="3">
        <v>4.66</v>
      </c>
      <c r="G75" s="3">
        <v>47812</v>
      </c>
      <c r="H75" s="13">
        <f t="shared" si="2"/>
        <v>1074.6633913804844</v>
      </c>
    </row>
    <row r="76" spans="1:8" x14ac:dyDescent="0.3">
      <c r="A76" s="3" t="s">
        <v>188</v>
      </c>
      <c r="B76" s="3" t="s">
        <v>38</v>
      </c>
      <c r="C76" s="3">
        <v>187</v>
      </c>
      <c r="D76" s="3">
        <v>236</v>
      </c>
      <c r="E76" s="3">
        <v>51087</v>
      </c>
      <c r="F76" s="3">
        <v>9.41</v>
      </c>
      <c r="G76" s="3">
        <v>29533</v>
      </c>
      <c r="H76" s="13">
        <f t="shared" si="2"/>
        <v>186.53804294634642</v>
      </c>
    </row>
    <row r="77" spans="1:8" x14ac:dyDescent="0.3">
      <c r="A77" s="3" t="s">
        <v>105</v>
      </c>
      <c r="B77" s="3" t="s">
        <v>38</v>
      </c>
      <c r="C77" s="3">
        <v>1854</v>
      </c>
      <c r="D77" s="3">
        <v>161</v>
      </c>
      <c r="E77" s="3">
        <v>282466</v>
      </c>
      <c r="F77" s="3">
        <v>5.17</v>
      </c>
      <c r="G77" s="3">
        <v>1810</v>
      </c>
      <c r="H77" s="13">
        <f t="shared" si="2"/>
        <v>1853.9430019896199</v>
      </c>
    </row>
    <row r="78" spans="1:8" x14ac:dyDescent="0.3">
      <c r="A78" s="3" t="s">
        <v>398</v>
      </c>
      <c r="B78" s="3" t="s">
        <v>38</v>
      </c>
      <c r="C78" s="3">
        <v>1696</v>
      </c>
      <c r="D78" s="3">
        <v>71</v>
      </c>
      <c r="E78" s="3">
        <v>421957</v>
      </c>
      <c r="F78" s="3">
        <v>3.79</v>
      </c>
      <c r="G78" s="3">
        <v>36103</v>
      </c>
      <c r="H78" s="13">
        <f t="shared" si="2"/>
        <v>1695.983173640916</v>
      </c>
    </row>
    <row r="79" spans="1:8" x14ac:dyDescent="0.3">
      <c r="A79" s="3" t="s">
        <v>281</v>
      </c>
      <c r="B79" s="3" t="s">
        <v>38</v>
      </c>
      <c r="C79" s="3">
        <v>1494</v>
      </c>
      <c r="D79" s="3">
        <v>375</v>
      </c>
      <c r="E79" s="3">
        <v>220616</v>
      </c>
      <c r="F79" s="3">
        <v>1.81</v>
      </c>
      <c r="G79" s="3">
        <v>22724</v>
      </c>
      <c r="H79" s="13">
        <f t="shared" si="2"/>
        <v>1493.8300213946404</v>
      </c>
    </row>
    <row r="80" spans="1:8" x14ac:dyDescent="0.3">
      <c r="A80" s="3" t="s">
        <v>213</v>
      </c>
      <c r="B80" s="3" t="s">
        <v>38</v>
      </c>
      <c r="C80" s="3">
        <v>1502</v>
      </c>
      <c r="D80" s="3">
        <v>70</v>
      </c>
      <c r="E80" s="3">
        <v>465553</v>
      </c>
      <c r="F80" s="3">
        <v>3.32</v>
      </c>
      <c r="G80" s="3">
        <v>20692</v>
      </c>
      <c r="H80" s="13">
        <f t="shared" si="2"/>
        <v>1501.9849641179414</v>
      </c>
    </row>
    <row r="81" spans="1:8" x14ac:dyDescent="0.3">
      <c r="A81" s="3" t="s">
        <v>135</v>
      </c>
      <c r="B81" s="3" t="s">
        <v>38</v>
      </c>
      <c r="C81" s="3">
        <v>1092</v>
      </c>
      <c r="D81" s="3">
        <v>408</v>
      </c>
      <c r="E81" s="3">
        <v>280795</v>
      </c>
      <c r="F81" s="3">
        <v>8.44</v>
      </c>
      <c r="G81" s="3">
        <v>4683</v>
      </c>
      <c r="H81" s="13">
        <f t="shared" si="2"/>
        <v>1091.8546982674193</v>
      </c>
    </row>
    <row r="82" spans="1:8" x14ac:dyDescent="0.3">
      <c r="A82" s="3" t="s">
        <v>399</v>
      </c>
      <c r="B82" s="3" t="s">
        <v>38</v>
      </c>
      <c r="C82" s="3">
        <v>1814</v>
      </c>
      <c r="D82" s="3">
        <v>49</v>
      </c>
      <c r="E82" s="3">
        <v>140804</v>
      </c>
      <c r="F82" s="3">
        <v>1.76</v>
      </c>
      <c r="G82" s="3">
        <v>4313</v>
      </c>
      <c r="H82" s="13">
        <f t="shared" si="2"/>
        <v>1813.965199852277</v>
      </c>
    </row>
    <row r="83" spans="1:8" x14ac:dyDescent="0.3">
      <c r="A83" s="3" t="s">
        <v>319</v>
      </c>
      <c r="B83" s="3" t="s">
        <v>38</v>
      </c>
      <c r="C83" s="3">
        <v>1013</v>
      </c>
      <c r="D83" s="3">
        <v>110</v>
      </c>
      <c r="E83" s="3">
        <v>466382</v>
      </c>
      <c r="F83" s="3">
        <v>5.3</v>
      </c>
      <c r="G83" s="3">
        <v>37132</v>
      </c>
      <c r="H83" s="13">
        <f t="shared" si="2"/>
        <v>1012.9764141840809</v>
      </c>
    </row>
    <row r="84" spans="1:8" x14ac:dyDescent="0.3">
      <c r="A84" s="3" t="s">
        <v>400</v>
      </c>
      <c r="B84" s="3" t="s">
        <v>38</v>
      </c>
      <c r="C84" s="3">
        <v>1855</v>
      </c>
      <c r="D84" s="3">
        <v>133</v>
      </c>
      <c r="E84" s="3">
        <v>349413</v>
      </c>
      <c r="F84" s="3">
        <v>3.3</v>
      </c>
      <c r="G84" s="3">
        <v>14548</v>
      </c>
      <c r="H84" s="13">
        <f t="shared" si="2"/>
        <v>1854.9619361615053</v>
      </c>
    </row>
    <row r="85" spans="1:8" x14ac:dyDescent="0.3">
      <c r="A85" s="3" t="s">
        <v>401</v>
      </c>
      <c r="B85" s="3" t="s">
        <v>38</v>
      </c>
      <c r="C85" s="3">
        <v>1748</v>
      </c>
      <c r="D85" s="3">
        <v>176</v>
      </c>
      <c r="E85" s="3">
        <v>383681</v>
      </c>
      <c r="F85" s="3">
        <v>9.24</v>
      </c>
      <c r="G85" s="3">
        <v>43122</v>
      </c>
      <c r="H85" s="13">
        <f t="shared" si="2"/>
        <v>1747.9541285599234</v>
      </c>
    </row>
    <row r="86" spans="1:8" x14ac:dyDescent="0.3">
      <c r="A86" s="3" t="s">
        <v>93</v>
      </c>
      <c r="B86" s="3" t="s">
        <v>38</v>
      </c>
      <c r="C86" s="3">
        <v>115</v>
      </c>
      <c r="D86" s="3">
        <v>281</v>
      </c>
      <c r="E86" s="3">
        <v>357265</v>
      </c>
      <c r="F86" s="3">
        <v>9.23</v>
      </c>
      <c r="G86" s="3">
        <v>25525</v>
      </c>
      <c r="H86" s="13">
        <f t="shared" si="2"/>
        <v>114.92134689936042</v>
      </c>
    </row>
    <row r="87" spans="1:8" x14ac:dyDescent="0.3">
      <c r="A87" s="3" t="s">
        <v>402</v>
      </c>
      <c r="B87" s="3" t="s">
        <v>38</v>
      </c>
      <c r="C87" s="3">
        <v>1556</v>
      </c>
      <c r="D87" s="3">
        <v>476</v>
      </c>
      <c r="E87" s="3">
        <v>351556</v>
      </c>
      <c r="F87" s="3">
        <v>3.89</v>
      </c>
      <c r="G87" s="3">
        <v>10825</v>
      </c>
      <c r="H87" s="13">
        <f t="shared" si="2"/>
        <v>1555.8646019410849</v>
      </c>
    </row>
    <row r="88" spans="1:8" x14ac:dyDescent="0.3">
      <c r="A88" s="3" t="s">
        <v>275</v>
      </c>
      <c r="B88" s="3" t="s">
        <v>38</v>
      </c>
      <c r="C88" s="3">
        <v>1957</v>
      </c>
      <c r="D88" s="3">
        <v>234</v>
      </c>
      <c r="E88" s="3">
        <v>222126</v>
      </c>
      <c r="F88" s="3">
        <v>4.6100000000000003</v>
      </c>
      <c r="G88" s="3">
        <v>3314</v>
      </c>
      <c r="H88" s="13">
        <f t="shared" si="2"/>
        <v>1956.8946543853488</v>
      </c>
    </row>
    <row r="89" spans="1:8" x14ac:dyDescent="0.3">
      <c r="A89" s="3" t="s">
        <v>210</v>
      </c>
      <c r="B89" s="3" t="s">
        <v>38</v>
      </c>
      <c r="C89" s="3">
        <v>1138</v>
      </c>
      <c r="D89" s="3">
        <v>173</v>
      </c>
      <c r="E89" s="3">
        <v>453243</v>
      </c>
      <c r="F89" s="3">
        <v>2.86</v>
      </c>
      <c r="G89" s="3">
        <v>44097</v>
      </c>
      <c r="H89" s="13">
        <f t="shared" si="2"/>
        <v>1137.9618306294858</v>
      </c>
    </row>
    <row r="90" spans="1:8" x14ac:dyDescent="0.3">
      <c r="A90" s="3" t="s">
        <v>131</v>
      </c>
      <c r="B90" s="3" t="s">
        <v>38</v>
      </c>
      <c r="C90" s="3">
        <v>1440</v>
      </c>
      <c r="D90" s="3">
        <v>65</v>
      </c>
      <c r="E90" s="3">
        <v>126524</v>
      </c>
      <c r="F90" s="3">
        <v>4.34</v>
      </c>
      <c r="G90" s="3">
        <v>49772</v>
      </c>
      <c r="H90" s="13">
        <f t="shared" si="2"/>
        <v>1439.9486263475703</v>
      </c>
    </row>
    <row r="91" spans="1:8" x14ac:dyDescent="0.3">
      <c r="A91" s="3" t="s">
        <v>355</v>
      </c>
      <c r="B91" s="3" t="s">
        <v>38</v>
      </c>
      <c r="C91" s="3">
        <v>1371</v>
      </c>
      <c r="D91" s="3">
        <v>56</v>
      </c>
      <c r="E91" s="3">
        <v>257579</v>
      </c>
      <c r="F91" s="3">
        <v>8.6199999999999992</v>
      </c>
      <c r="G91" s="3">
        <v>33799</v>
      </c>
      <c r="H91" s="13">
        <f t="shared" si="2"/>
        <v>1370.978259097209</v>
      </c>
    </row>
    <row r="92" spans="1:8" x14ac:dyDescent="0.3">
      <c r="A92" s="3" t="s">
        <v>403</v>
      </c>
      <c r="B92" s="3" t="s">
        <v>38</v>
      </c>
      <c r="C92" s="3">
        <v>393</v>
      </c>
      <c r="D92" s="3">
        <v>181</v>
      </c>
      <c r="E92" s="3">
        <v>462142</v>
      </c>
      <c r="F92" s="3">
        <v>7.23</v>
      </c>
      <c r="G92" s="3">
        <v>6296</v>
      </c>
      <c r="H92" s="13">
        <f t="shared" si="2"/>
        <v>392.96083454868852</v>
      </c>
    </row>
    <row r="93" spans="1:8" x14ac:dyDescent="0.3">
      <c r="A93" s="3" t="s">
        <v>404</v>
      </c>
      <c r="B93" s="3" t="s">
        <v>38</v>
      </c>
      <c r="C93" s="3">
        <v>1102</v>
      </c>
      <c r="D93" s="3">
        <v>422</v>
      </c>
      <c r="E93" s="3">
        <v>410330</v>
      </c>
      <c r="F93" s="3">
        <v>7.74</v>
      </c>
      <c r="G93" s="3">
        <v>9480</v>
      </c>
      <c r="H93" s="13">
        <f t="shared" si="2"/>
        <v>1101.897155947652</v>
      </c>
    </row>
    <row r="94" spans="1:8" x14ac:dyDescent="0.3">
      <c r="A94" s="3" t="s">
        <v>128</v>
      </c>
      <c r="B94" s="3" t="s">
        <v>38</v>
      </c>
      <c r="C94" s="3">
        <v>490</v>
      </c>
      <c r="D94" s="3">
        <v>29</v>
      </c>
      <c r="E94" s="3">
        <v>364810</v>
      </c>
      <c r="F94" s="3">
        <v>1.53</v>
      </c>
      <c r="G94" s="3">
        <v>49077</v>
      </c>
      <c r="H94" s="13">
        <f t="shared" si="2"/>
        <v>489.99205065650614</v>
      </c>
    </row>
    <row r="95" spans="1:8" x14ac:dyDescent="0.3">
      <c r="A95" s="3" t="s">
        <v>405</v>
      </c>
      <c r="B95" s="3" t="s">
        <v>38</v>
      </c>
      <c r="C95" s="3">
        <v>1033</v>
      </c>
      <c r="D95" s="3">
        <v>392</v>
      </c>
      <c r="E95" s="3">
        <v>282780</v>
      </c>
      <c r="F95" s="3">
        <v>6.27</v>
      </c>
      <c r="G95" s="3">
        <v>23140</v>
      </c>
      <c r="H95" s="13">
        <f t="shared" si="2"/>
        <v>1032.8613763349601</v>
      </c>
    </row>
    <row r="96" spans="1:8" x14ac:dyDescent="0.3">
      <c r="A96" s="3" t="s">
        <v>304</v>
      </c>
      <c r="B96" s="3" t="s">
        <v>38</v>
      </c>
      <c r="C96" s="3">
        <v>559</v>
      </c>
      <c r="D96" s="3">
        <v>392</v>
      </c>
      <c r="E96" s="3">
        <v>78789</v>
      </c>
      <c r="F96" s="3">
        <v>3.19</v>
      </c>
      <c r="G96" s="3">
        <v>2436</v>
      </c>
      <c r="H96" s="13">
        <f t="shared" si="2"/>
        <v>558.50246861871585</v>
      </c>
    </row>
    <row r="97" spans="1:8" x14ac:dyDescent="0.3">
      <c r="A97" s="3" t="s">
        <v>406</v>
      </c>
      <c r="B97" s="3" t="s">
        <v>38</v>
      </c>
      <c r="C97" s="3">
        <v>198</v>
      </c>
      <c r="D97" s="3">
        <v>358</v>
      </c>
      <c r="E97" s="3">
        <v>66682</v>
      </c>
      <c r="F97" s="3">
        <v>6.73</v>
      </c>
      <c r="G97" s="3">
        <v>2293</v>
      </c>
      <c r="H97" s="13">
        <f t="shared" si="2"/>
        <v>197.46312348159924</v>
      </c>
    </row>
    <row r="98" spans="1:8" x14ac:dyDescent="0.3">
      <c r="A98" s="3" t="s">
        <v>407</v>
      </c>
      <c r="B98" s="3" t="s">
        <v>38</v>
      </c>
      <c r="C98" s="3">
        <v>961</v>
      </c>
      <c r="D98" s="3">
        <v>358</v>
      </c>
      <c r="E98" s="3">
        <v>62942</v>
      </c>
      <c r="F98" s="3">
        <v>6.8</v>
      </c>
      <c r="G98" s="3">
        <v>18693</v>
      </c>
      <c r="H98" s="13">
        <f t="shared" ref="H98:H129" si="3">C98-D98/E98*100</f>
        <v>960.43122239522097</v>
      </c>
    </row>
    <row r="99" spans="1:8" x14ac:dyDescent="0.3">
      <c r="A99" s="3" t="s">
        <v>76</v>
      </c>
      <c r="B99" s="3" t="s">
        <v>38</v>
      </c>
      <c r="C99" s="3">
        <v>1693</v>
      </c>
      <c r="D99" s="3">
        <v>154</v>
      </c>
      <c r="E99" s="3">
        <v>445944</v>
      </c>
      <c r="F99" s="3">
        <v>5.69</v>
      </c>
      <c r="G99" s="3">
        <v>14216</v>
      </c>
      <c r="H99" s="13">
        <f t="shared" si="3"/>
        <v>1692.9654665159751</v>
      </c>
    </row>
    <row r="100" spans="1:8" x14ac:dyDescent="0.3">
      <c r="A100" s="3" t="s">
        <v>329</v>
      </c>
      <c r="B100" s="3" t="s">
        <v>38</v>
      </c>
      <c r="C100" s="3">
        <v>1957</v>
      </c>
      <c r="D100" s="3">
        <v>76</v>
      </c>
      <c r="E100" s="3">
        <v>447902</v>
      </c>
      <c r="F100" s="3">
        <v>6.09</v>
      </c>
      <c r="G100" s="3">
        <v>33381</v>
      </c>
      <c r="H100" s="13">
        <f t="shared" si="3"/>
        <v>1956.9830320025362</v>
      </c>
    </row>
    <row r="101" spans="1:8" x14ac:dyDescent="0.3">
      <c r="A101" s="3" t="s">
        <v>252</v>
      </c>
      <c r="B101" s="3" t="s">
        <v>38</v>
      </c>
      <c r="C101" s="3">
        <v>1765</v>
      </c>
      <c r="D101" s="3">
        <v>109</v>
      </c>
      <c r="E101" s="3">
        <v>468301</v>
      </c>
      <c r="F101" s="3">
        <v>1.82</v>
      </c>
      <c r="G101" s="3">
        <v>20042</v>
      </c>
      <c r="H101" s="13">
        <f t="shared" si="3"/>
        <v>1764.9767243717181</v>
      </c>
    </row>
    <row r="102" spans="1:8" x14ac:dyDescent="0.3">
      <c r="A102" s="3" t="s">
        <v>351</v>
      </c>
      <c r="B102" s="3" t="s">
        <v>23</v>
      </c>
      <c r="C102" s="3">
        <v>584</v>
      </c>
      <c r="D102" s="3">
        <v>169</v>
      </c>
      <c r="E102" s="3">
        <v>146834</v>
      </c>
      <c r="F102" s="3">
        <v>8.31</v>
      </c>
      <c r="G102" s="3">
        <v>26752</v>
      </c>
      <c r="H102" s="13">
        <f t="shared" si="3"/>
        <v>583.88490404129834</v>
      </c>
    </row>
    <row r="103" spans="1:8" x14ac:dyDescent="0.3">
      <c r="A103" s="3" t="s">
        <v>271</v>
      </c>
      <c r="B103" s="3" t="s">
        <v>23</v>
      </c>
      <c r="C103" s="3">
        <v>436</v>
      </c>
      <c r="D103" s="3">
        <v>250</v>
      </c>
      <c r="E103" s="3">
        <v>254347</v>
      </c>
      <c r="F103" s="3">
        <v>4.01</v>
      </c>
      <c r="G103" s="3">
        <v>8912</v>
      </c>
      <c r="H103" s="13">
        <f t="shared" si="3"/>
        <v>435.90170908247393</v>
      </c>
    </row>
    <row r="104" spans="1:8" x14ac:dyDescent="0.3">
      <c r="A104" s="3" t="s">
        <v>206</v>
      </c>
      <c r="B104" s="3" t="s">
        <v>23</v>
      </c>
      <c r="C104" s="3">
        <v>1335</v>
      </c>
      <c r="D104" s="3">
        <v>40</v>
      </c>
      <c r="E104" s="3">
        <v>122732</v>
      </c>
      <c r="F104" s="3">
        <v>8.19</v>
      </c>
      <c r="G104" s="3">
        <v>22482</v>
      </c>
      <c r="H104" s="13">
        <f t="shared" si="3"/>
        <v>1334.9674086627774</v>
      </c>
    </row>
    <row r="105" spans="1:8" x14ac:dyDescent="0.3">
      <c r="A105" s="3" t="s">
        <v>122</v>
      </c>
      <c r="B105" s="3" t="s">
        <v>23</v>
      </c>
      <c r="C105" s="3">
        <v>1238</v>
      </c>
      <c r="D105" s="3">
        <v>403</v>
      </c>
      <c r="E105" s="3">
        <v>298421</v>
      </c>
      <c r="F105" s="3">
        <v>3.5</v>
      </c>
      <c r="G105" s="3">
        <v>31280</v>
      </c>
      <c r="H105" s="13">
        <f t="shared" si="3"/>
        <v>1237.864955884472</v>
      </c>
    </row>
    <row r="106" spans="1:8" x14ac:dyDescent="0.3">
      <c r="A106" s="3" t="s">
        <v>376</v>
      </c>
      <c r="B106" s="3" t="s">
        <v>23</v>
      </c>
      <c r="C106" s="3">
        <v>1420</v>
      </c>
      <c r="D106" s="3">
        <v>63</v>
      </c>
      <c r="E106" s="3">
        <v>315305</v>
      </c>
      <c r="F106" s="3">
        <v>6.19</v>
      </c>
      <c r="G106" s="3">
        <v>5914</v>
      </c>
      <c r="H106" s="13">
        <f t="shared" si="3"/>
        <v>1419.9800193463473</v>
      </c>
    </row>
    <row r="107" spans="1:8" x14ac:dyDescent="0.3">
      <c r="A107" s="3" t="s">
        <v>390</v>
      </c>
      <c r="B107" s="3" t="s">
        <v>23</v>
      </c>
      <c r="C107" s="3">
        <v>987</v>
      </c>
      <c r="D107" s="3">
        <v>440</v>
      </c>
      <c r="E107" s="3">
        <v>389810</v>
      </c>
      <c r="F107" s="3">
        <v>4.66</v>
      </c>
      <c r="G107" s="3">
        <v>2932</v>
      </c>
      <c r="H107" s="13">
        <f t="shared" si="3"/>
        <v>986.88712449654963</v>
      </c>
    </row>
    <row r="108" spans="1:8" x14ac:dyDescent="0.3">
      <c r="A108" s="3" t="s">
        <v>222</v>
      </c>
      <c r="B108" s="3" t="s">
        <v>23</v>
      </c>
      <c r="C108" s="3">
        <v>704</v>
      </c>
      <c r="D108" s="3">
        <v>275</v>
      </c>
      <c r="E108" s="3">
        <v>226002</v>
      </c>
      <c r="F108" s="3">
        <v>8.56</v>
      </c>
      <c r="G108" s="3">
        <v>32393</v>
      </c>
      <c r="H108" s="13">
        <f t="shared" si="3"/>
        <v>703.878319660888</v>
      </c>
    </row>
    <row r="109" spans="1:8" x14ac:dyDescent="0.3">
      <c r="A109" s="3" t="s">
        <v>391</v>
      </c>
      <c r="B109" s="3" t="s">
        <v>23</v>
      </c>
      <c r="C109" s="3">
        <v>1701</v>
      </c>
      <c r="D109" s="3">
        <v>385</v>
      </c>
      <c r="E109" s="3">
        <v>198278</v>
      </c>
      <c r="F109" s="3">
        <v>5.34</v>
      </c>
      <c r="G109" s="3">
        <v>32763</v>
      </c>
      <c r="H109" s="13">
        <f t="shared" si="3"/>
        <v>1700.8058281806352</v>
      </c>
    </row>
    <row r="110" spans="1:8" x14ac:dyDescent="0.3">
      <c r="A110" s="3" t="s">
        <v>56</v>
      </c>
      <c r="B110" s="3" t="s">
        <v>23</v>
      </c>
      <c r="C110" s="3">
        <v>1756</v>
      </c>
      <c r="D110" s="3">
        <v>261</v>
      </c>
      <c r="E110" s="3">
        <v>287574</v>
      </c>
      <c r="F110" s="3">
        <v>4.3600000000000003</v>
      </c>
      <c r="G110" s="3">
        <v>39272</v>
      </c>
      <c r="H110" s="13">
        <f t="shared" si="3"/>
        <v>1755.9092407519456</v>
      </c>
    </row>
    <row r="111" spans="1:8" x14ac:dyDescent="0.3">
      <c r="A111" s="3" t="s">
        <v>325</v>
      </c>
      <c r="B111" s="3" t="s">
        <v>23</v>
      </c>
      <c r="C111" s="3">
        <v>826</v>
      </c>
      <c r="D111" s="3">
        <v>498</v>
      </c>
      <c r="E111" s="3">
        <v>449994</v>
      </c>
      <c r="F111" s="3">
        <v>9.43</v>
      </c>
      <c r="G111" s="3">
        <v>12384</v>
      </c>
      <c r="H111" s="13">
        <f t="shared" si="3"/>
        <v>825.88933185775807</v>
      </c>
    </row>
    <row r="112" spans="1:8" x14ac:dyDescent="0.3">
      <c r="A112" s="3" t="s">
        <v>248</v>
      </c>
      <c r="B112" s="3" t="s">
        <v>23</v>
      </c>
      <c r="C112" s="3">
        <v>485</v>
      </c>
      <c r="D112" s="3">
        <v>448</v>
      </c>
      <c r="E112" s="3">
        <v>434883</v>
      </c>
      <c r="F112" s="3">
        <v>8.5500000000000007</v>
      </c>
      <c r="G112" s="3">
        <v>33258</v>
      </c>
      <c r="H112" s="13">
        <f t="shared" si="3"/>
        <v>484.89698378644368</v>
      </c>
    </row>
    <row r="113" spans="1:8" x14ac:dyDescent="0.3">
      <c r="A113" s="3" t="s">
        <v>178</v>
      </c>
      <c r="B113" s="3" t="s">
        <v>23</v>
      </c>
      <c r="C113" s="3">
        <v>1751</v>
      </c>
      <c r="D113" s="3">
        <v>86</v>
      </c>
      <c r="E113" s="3">
        <v>188655</v>
      </c>
      <c r="F113" s="3">
        <v>7.24</v>
      </c>
      <c r="G113" s="3">
        <v>22206</v>
      </c>
      <c r="H113" s="13">
        <f t="shared" si="3"/>
        <v>1750.9544141422173</v>
      </c>
    </row>
    <row r="114" spans="1:8" x14ac:dyDescent="0.3">
      <c r="A114" s="3" t="s">
        <v>97</v>
      </c>
      <c r="B114" s="3" t="s">
        <v>23</v>
      </c>
      <c r="C114" s="3">
        <v>1300</v>
      </c>
      <c r="D114" s="3">
        <v>71</v>
      </c>
      <c r="E114" s="3">
        <v>186454</v>
      </c>
      <c r="F114" s="3">
        <v>3.91</v>
      </c>
      <c r="G114" s="3">
        <v>9942</v>
      </c>
      <c r="H114" s="13">
        <f t="shared" si="3"/>
        <v>1299.9619209027428</v>
      </c>
    </row>
    <row r="115" spans="1:8" x14ac:dyDescent="0.3">
      <c r="A115" s="3" t="s">
        <v>363</v>
      </c>
      <c r="B115" s="3" t="s">
        <v>23</v>
      </c>
      <c r="C115" s="3">
        <v>557</v>
      </c>
      <c r="D115" s="3">
        <v>360</v>
      </c>
      <c r="E115" s="3">
        <v>318779</v>
      </c>
      <c r="F115" s="3">
        <v>8.02</v>
      </c>
      <c r="G115" s="3">
        <v>25797</v>
      </c>
      <c r="H115" s="13">
        <f t="shared" si="3"/>
        <v>556.88706909802715</v>
      </c>
    </row>
    <row r="116" spans="1:8" x14ac:dyDescent="0.3">
      <c r="A116" s="3" t="s">
        <v>285</v>
      </c>
      <c r="B116" s="3" t="s">
        <v>23</v>
      </c>
      <c r="C116" s="3">
        <v>751</v>
      </c>
      <c r="D116" s="3">
        <v>491</v>
      </c>
      <c r="E116" s="3">
        <v>434047</v>
      </c>
      <c r="F116" s="3">
        <v>9.24</v>
      </c>
      <c r="G116" s="3">
        <v>15476</v>
      </c>
      <c r="H116" s="13">
        <f t="shared" si="3"/>
        <v>750.88687860992013</v>
      </c>
    </row>
    <row r="117" spans="1:8" x14ac:dyDescent="0.3">
      <c r="A117" s="3" t="s">
        <v>392</v>
      </c>
      <c r="B117" s="3" t="s">
        <v>23</v>
      </c>
      <c r="C117" s="3">
        <v>1472</v>
      </c>
      <c r="D117" s="3">
        <v>347</v>
      </c>
      <c r="E117" s="3">
        <v>392355</v>
      </c>
      <c r="F117" s="3">
        <v>8.59</v>
      </c>
      <c r="G117" s="3">
        <v>30270</v>
      </c>
      <c r="H117" s="13">
        <f t="shared" si="3"/>
        <v>1471.9115596844695</v>
      </c>
    </row>
    <row r="118" spans="1:8" x14ac:dyDescent="0.3">
      <c r="A118" s="3" t="s">
        <v>393</v>
      </c>
      <c r="B118" s="3" t="s">
        <v>23</v>
      </c>
      <c r="C118" s="3">
        <v>1911</v>
      </c>
      <c r="D118" s="3">
        <v>231</v>
      </c>
      <c r="E118" s="3">
        <v>268516</v>
      </c>
      <c r="F118" s="3">
        <v>8.5500000000000007</v>
      </c>
      <c r="G118" s="3">
        <v>24018</v>
      </c>
      <c r="H118" s="13">
        <f t="shared" si="3"/>
        <v>1910.9139716069062</v>
      </c>
    </row>
    <row r="119" spans="1:8" x14ac:dyDescent="0.3">
      <c r="A119" s="3" t="s">
        <v>394</v>
      </c>
      <c r="B119" s="3" t="s">
        <v>23</v>
      </c>
      <c r="C119" s="3">
        <v>752</v>
      </c>
      <c r="D119" s="3">
        <v>153</v>
      </c>
      <c r="E119" s="3">
        <v>64906</v>
      </c>
      <c r="F119" s="3">
        <v>2.09</v>
      </c>
      <c r="G119" s="3">
        <v>12148</v>
      </c>
      <c r="H119" s="13">
        <f t="shared" si="3"/>
        <v>751.76427448926142</v>
      </c>
    </row>
    <row r="120" spans="1:8" x14ac:dyDescent="0.3">
      <c r="A120" s="3" t="s">
        <v>395</v>
      </c>
      <c r="B120" s="3" t="s">
        <v>23</v>
      </c>
      <c r="C120" s="3">
        <v>437</v>
      </c>
      <c r="D120" s="3">
        <v>330</v>
      </c>
      <c r="E120" s="3">
        <v>476486</v>
      </c>
      <c r="F120" s="3">
        <v>4.97</v>
      </c>
      <c r="G120" s="3">
        <v>4509</v>
      </c>
      <c r="H120" s="13">
        <f t="shared" si="3"/>
        <v>436.93074298090607</v>
      </c>
    </row>
    <row r="121" spans="1:8" x14ac:dyDescent="0.3">
      <c r="A121" s="3" t="s">
        <v>396</v>
      </c>
      <c r="B121" s="3" t="s">
        <v>23</v>
      </c>
      <c r="C121" s="3">
        <v>201</v>
      </c>
      <c r="D121" s="3">
        <v>221</v>
      </c>
      <c r="E121" s="3">
        <v>309772</v>
      </c>
      <c r="F121" s="3">
        <v>5.9</v>
      </c>
      <c r="G121" s="3">
        <v>33174</v>
      </c>
      <c r="H121" s="13">
        <f t="shared" si="3"/>
        <v>200.92865720594503</v>
      </c>
    </row>
    <row r="122" spans="1:8" x14ac:dyDescent="0.3">
      <c r="A122" s="3" t="s">
        <v>159</v>
      </c>
      <c r="B122" s="3" t="s">
        <v>23</v>
      </c>
      <c r="C122" s="3">
        <v>697</v>
      </c>
      <c r="D122" s="3">
        <v>61</v>
      </c>
      <c r="E122" s="3">
        <v>258287</v>
      </c>
      <c r="F122" s="3">
        <v>8.25</v>
      </c>
      <c r="G122" s="3">
        <v>21208</v>
      </c>
      <c r="H122" s="13">
        <f t="shared" si="3"/>
        <v>696.97638286092604</v>
      </c>
    </row>
    <row r="123" spans="1:8" x14ac:dyDescent="0.3">
      <c r="A123" s="3" t="s">
        <v>72</v>
      </c>
      <c r="B123" s="3" t="s">
        <v>23</v>
      </c>
      <c r="C123" s="3">
        <v>191</v>
      </c>
      <c r="D123" s="3">
        <v>154</v>
      </c>
      <c r="E123" s="3">
        <v>240550</v>
      </c>
      <c r="F123" s="3">
        <v>5.22</v>
      </c>
      <c r="G123" s="3">
        <v>15827</v>
      </c>
      <c r="H123" s="13">
        <f t="shared" si="3"/>
        <v>190.93598004572854</v>
      </c>
    </row>
    <row r="124" spans="1:8" x14ac:dyDescent="0.3">
      <c r="A124" s="3" t="s">
        <v>333</v>
      </c>
      <c r="B124" s="3" t="s">
        <v>23</v>
      </c>
      <c r="C124" s="3">
        <v>1821</v>
      </c>
      <c r="D124" s="3">
        <v>218</v>
      </c>
      <c r="E124" s="3">
        <v>439080</v>
      </c>
      <c r="F124" s="3">
        <v>5.68</v>
      </c>
      <c r="G124" s="3">
        <v>36095</v>
      </c>
      <c r="H124" s="13">
        <f t="shared" si="3"/>
        <v>1820.9503507333516</v>
      </c>
    </row>
    <row r="125" spans="1:8" x14ac:dyDescent="0.3">
      <c r="A125" s="3" t="s">
        <v>397</v>
      </c>
      <c r="B125" s="3" t="s">
        <v>23</v>
      </c>
      <c r="C125" s="3">
        <v>1487</v>
      </c>
      <c r="D125" s="3">
        <v>337</v>
      </c>
      <c r="E125" s="3">
        <v>87305</v>
      </c>
      <c r="F125" s="3">
        <v>2.46</v>
      </c>
      <c r="G125" s="3">
        <v>30428</v>
      </c>
      <c r="H125" s="13">
        <f t="shared" si="3"/>
        <v>1486.6139969073936</v>
      </c>
    </row>
    <row r="126" spans="1:8" x14ac:dyDescent="0.3">
      <c r="A126" s="3" t="s">
        <v>188</v>
      </c>
      <c r="B126" s="3" t="s">
        <v>23</v>
      </c>
      <c r="C126" s="3">
        <v>628</v>
      </c>
      <c r="D126" s="3">
        <v>183</v>
      </c>
      <c r="E126" s="3">
        <v>487523</v>
      </c>
      <c r="F126" s="3">
        <v>7.32</v>
      </c>
      <c r="G126" s="3">
        <v>5391</v>
      </c>
      <c r="H126" s="13">
        <f t="shared" si="3"/>
        <v>627.96246330942336</v>
      </c>
    </row>
    <row r="127" spans="1:8" x14ac:dyDescent="0.3">
      <c r="A127" s="3" t="s">
        <v>105</v>
      </c>
      <c r="B127" s="3" t="s">
        <v>23</v>
      </c>
      <c r="C127" s="3">
        <v>330</v>
      </c>
      <c r="D127" s="3">
        <v>232</v>
      </c>
      <c r="E127" s="3">
        <v>88455</v>
      </c>
      <c r="F127" s="3">
        <v>2.69</v>
      </c>
      <c r="G127" s="3">
        <v>39530</v>
      </c>
      <c r="H127" s="13">
        <f t="shared" si="3"/>
        <v>329.73771974450284</v>
      </c>
    </row>
    <row r="128" spans="1:8" x14ac:dyDescent="0.3">
      <c r="A128" s="3" t="s">
        <v>398</v>
      </c>
      <c r="B128" s="3" t="s">
        <v>23</v>
      </c>
      <c r="C128" s="3">
        <v>1441</v>
      </c>
      <c r="D128" s="3">
        <v>268</v>
      </c>
      <c r="E128" s="3">
        <v>309904</v>
      </c>
      <c r="F128" s="3">
        <v>6.37</v>
      </c>
      <c r="G128" s="3">
        <v>3455</v>
      </c>
      <c r="H128" s="13">
        <f t="shared" si="3"/>
        <v>1440.9135216066911</v>
      </c>
    </row>
    <row r="129" spans="1:8" x14ac:dyDescent="0.3">
      <c r="A129" s="3" t="s">
        <v>281</v>
      </c>
      <c r="B129" s="3" t="s">
        <v>23</v>
      </c>
      <c r="C129" s="3">
        <v>1937</v>
      </c>
      <c r="D129" s="3">
        <v>210</v>
      </c>
      <c r="E129" s="3">
        <v>20607</v>
      </c>
      <c r="F129" s="3">
        <v>4.2</v>
      </c>
      <c r="G129" s="3">
        <v>20861</v>
      </c>
      <c r="H129" s="13">
        <f t="shared" si="3"/>
        <v>1935.9809288105982</v>
      </c>
    </row>
    <row r="130" spans="1:8" x14ac:dyDescent="0.3">
      <c r="A130" s="3" t="s">
        <v>213</v>
      </c>
      <c r="B130" s="3" t="s">
        <v>23</v>
      </c>
      <c r="C130" s="3">
        <v>1592</v>
      </c>
      <c r="D130" s="3">
        <v>233</v>
      </c>
      <c r="E130" s="3">
        <v>327183</v>
      </c>
      <c r="F130" s="3">
        <v>6.66</v>
      </c>
      <c r="G130" s="3">
        <v>13316</v>
      </c>
      <c r="H130" s="13">
        <f t="shared" ref="H130:H161" si="4">C130-D130/E130*100</f>
        <v>1591.928786031059</v>
      </c>
    </row>
    <row r="131" spans="1:8" x14ac:dyDescent="0.3">
      <c r="A131" s="3" t="s">
        <v>135</v>
      </c>
      <c r="B131" s="3" t="s">
        <v>23</v>
      </c>
      <c r="C131" s="3">
        <v>1137</v>
      </c>
      <c r="D131" s="3">
        <v>226</v>
      </c>
      <c r="E131" s="3">
        <v>81119</v>
      </c>
      <c r="F131" s="3">
        <v>7.74</v>
      </c>
      <c r="G131" s="3">
        <v>35359</v>
      </c>
      <c r="H131" s="13">
        <f t="shared" si="4"/>
        <v>1136.7213969600216</v>
      </c>
    </row>
    <row r="132" spans="1:8" x14ac:dyDescent="0.3">
      <c r="A132" s="3" t="s">
        <v>399</v>
      </c>
      <c r="B132" s="3" t="s">
        <v>23</v>
      </c>
      <c r="C132" s="3">
        <v>1786</v>
      </c>
      <c r="D132" s="3">
        <v>257</v>
      </c>
      <c r="E132" s="3">
        <v>274831</v>
      </c>
      <c r="F132" s="3">
        <v>4.68</v>
      </c>
      <c r="G132" s="3">
        <v>9118</v>
      </c>
      <c r="H132" s="13">
        <f t="shared" si="4"/>
        <v>1785.906487987163</v>
      </c>
    </row>
    <row r="133" spans="1:8" x14ac:dyDescent="0.3">
      <c r="A133" s="3" t="s">
        <v>319</v>
      </c>
      <c r="B133" s="3" t="s">
        <v>23</v>
      </c>
      <c r="C133" s="3">
        <v>1633</v>
      </c>
      <c r="D133" s="3">
        <v>445</v>
      </c>
      <c r="E133" s="3">
        <v>371156</v>
      </c>
      <c r="F133" s="3">
        <v>2.2200000000000002</v>
      </c>
      <c r="G133" s="3">
        <v>2798</v>
      </c>
      <c r="H133" s="13">
        <f t="shared" si="4"/>
        <v>1632.8801043227106</v>
      </c>
    </row>
    <row r="134" spans="1:8" x14ac:dyDescent="0.3">
      <c r="A134" s="3" t="s">
        <v>400</v>
      </c>
      <c r="B134" s="3" t="s">
        <v>23</v>
      </c>
      <c r="C134" s="3">
        <v>118</v>
      </c>
      <c r="D134" s="3">
        <v>262</v>
      </c>
      <c r="E134" s="3">
        <v>487896</v>
      </c>
      <c r="F134" s="3">
        <v>2.56</v>
      </c>
      <c r="G134" s="3">
        <v>12350</v>
      </c>
      <c r="H134" s="13">
        <f t="shared" si="4"/>
        <v>117.94630003115418</v>
      </c>
    </row>
    <row r="135" spans="1:8" x14ac:dyDescent="0.3">
      <c r="A135" s="3" t="s">
        <v>401</v>
      </c>
      <c r="B135" s="3" t="s">
        <v>23</v>
      </c>
      <c r="C135" s="3">
        <v>1040</v>
      </c>
      <c r="D135" s="3">
        <v>149</v>
      </c>
      <c r="E135" s="3">
        <v>124404</v>
      </c>
      <c r="F135" s="3">
        <v>5.23</v>
      </c>
      <c r="G135" s="3">
        <v>45380</v>
      </c>
      <c r="H135" s="13">
        <f t="shared" si="4"/>
        <v>1039.8802289315456</v>
      </c>
    </row>
    <row r="136" spans="1:8" x14ac:dyDescent="0.3">
      <c r="A136" s="3" t="s">
        <v>93</v>
      </c>
      <c r="B136" s="3" t="s">
        <v>23</v>
      </c>
      <c r="C136" s="3">
        <v>1501</v>
      </c>
      <c r="D136" s="3">
        <v>75</v>
      </c>
      <c r="E136" s="3">
        <v>262569</v>
      </c>
      <c r="F136" s="3">
        <v>2.0099999999999998</v>
      </c>
      <c r="G136" s="3">
        <v>19119</v>
      </c>
      <c r="H136" s="13">
        <f t="shared" si="4"/>
        <v>1500.971436079659</v>
      </c>
    </row>
    <row r="137" spans="1:8" x14ac:dyDescent="0.3">
      <c r="A137" s="3" t="s">
        <v>402</v>
      </c>
      <c r="B137" s="3" t="s">
        <v>23</v>
      </c>
      <c r="C137" s="3">
        <v>927</v>
      </c>
      <c r="D137" s="3">
        <v>358</v>
      </c>
      <c r="E137" s="3">
        <v>177554</v>
      </c>
      <c r="F137" s="3">
        <v>6.95</v>
      </c>
      <c r="G137" s="3">
        <v>48270</v>
      </c>
      <c r="H137" s="13">
        <f t="shared" si="4"/>
        <v>926.79837119974763</v>
      </c>
    </row>
    <row r="138" spans="1:8" x14ac:dyDescent="0.3">
      <c r="A138" s="3" t="s">
        <v>275</v>
      </c>
      <c r="B138" s="3" t="s">
        <v>23</v>
      </c>
      <c r="C138" s="3">
        <v>1587</v>
      </c>
      <c r="D138" s="3">
        <v>385</v>
      </c>
      <c r="E138" s="3">
        <v>126582</v>
      </c>
      <c r="F138" s="3">
        <v>6.99</v>
      </c>
      <c r="G138" s="3">
        <v>42832</v>
      </c>
      <c r="H138" s="13">
        <f t="shared" si="4"/>
        <v>1586.6958493308684</v>
      </c>
    </row>
    <row r="139" spans="1:8" x14ac:dyDescent="0.3">
      <c r="A139" s="3" t="s">
        <v>210</v>
      </c>
      <c r="B139" s="3" t="s">
        <v>23</v>
      </c>
      <c r="C139" s="3">
        <v>362</v>
      </c>
      <c r="D139" s="3">
        <v>399</v>
      </c>
      <c r="E139" s="3">
        <v>145608</v>
      </c>
      <c r="F139" s="3">
        <v>7.3</v>
      </c>
      <c r="G139" s="3">
        <v>37636</v>
      </c>
      <c r="H139" s="13">
        <f t="shared" si="4"/>
        <v>361.72597659469261</v>
      </c>
    </row>
    <row r="140" spans="1:8" x14ac:dyDescent="0.3">
      <c r="A140" s="3" t="s">
        <v>131</v>
      </c>
      <c r="B140" s="3" t="s">
        <v>23</v>
      </c>
      <c r="C140" s="3">
        <v>861</v>
      </c>
      <c r="D140" s="3">
        <v>153</v>
      </c>
      <c r="E140" s="3">
        <v>317007</v>
      </c>
      <c r="F140" s="3">
        <v>3.85</v>
      </c>
      <c r="G140" s="3">
        <v>8718</v>
      </c>
      <c r="H140" s="13">
        <f t="shared" si="4"/>
        <v>860.95173608153766</v>
      </c>
    </row>
    <row r="141" spans="1:8" x14ac:dyDescent="0.3">
      <c r="A141" s="3" t="s">
        <v>355</v>
      </c>
      <c r="B141" s="3" t="s">
        <v>23</v>
      </c>
      <c r="C141" s="3">
        <v>946</v>
      </c>
      <c r="D141" s="3">
        <v>47</v>
      </c>
      <c r="E141" s="3">
        <v>466575</v>
      </c>
      <c r="F141" s="3">
        <v>8.33</v>
      </c>
      <c r="G141" s="3">
        <v>10002</v>
      </c>
      <c r="H141" s="13">
        <f t="shared" si="4"/>
        <v>945.98992659272358</v>
      </c>
    </row>
    <row r="142" spans="1:8" x14ac:dyDescent="0.3">
      <c r="A142" s="3" t="s">
        <v>403</v>
      </c>
      <c r="B142" s="3" t="s">
        <v>23</v>
      </c>
      <c r="C142" s="3">
        <v>1399</v>
      </c>
      <c r="D142" s="3">
        <v>49</v>
      </c>
      <c r="E142" s="3">
        <v>12471</v>
      </c>
      <c r="F142" s="3">
        <v>5.12</v>
      </c>
      <c r="G142" s="3">
        <v>14722</v>
      </c>
      <c r="H142" s="13">
        <f t="shared" si="4"/>
        <v>1398.6070884451929</v>
      </c>
    </row>
    <row r="143" spans="1:8" x14ac:dyDescent="0.3">
      <c r="A143" s="3" t="s">
        <v>404</v>
      </c>
      <c r="B143" s="3" t="s">
        <v>23</v>
      </c>
      <c r="C143" s="3">
        <v>1077</v>
      </c>
      <c r="D143" s="3">
        <v>216</v>
      </c>
      <c r="E143" s="3">
        <v>12447</v>
      </c>
      <c r="F143" s="3">
        <v>1.8</v>
      </c>
      <c r="G143" s="3">
        <v>14068</v>
      </c>
      <c r="H143" s="13">
        <f t="shared" si="4"/>
        <v>1075.2646420824294</v>
      </c>
    </row>
    <row r="144" spans="1:8" x14ac:dyDescent="0.3">
      <c r="A144" s="3" t="s">
        <v>128</v>
      </c>
      <c r="B144" s="3" t="s">
        <v>23</v>
      </c>
      <c r="C144" s="3">
        <v>364</v>
      </c>
      <c r="D144" s="3">
        <v>72</v>
      </c>
      <c r="E144" s="3">
        <v>211090</v>
      </c>
      <c r="F144" s="3">
        <v>5.53</v>
      </c>
      <c r="G144" s="3">
        <v>21061</v>
      </c>
      <c r="H144" s="13">
        <f t="shared" si="4"/>
        <v>363.96589132597472</v>
      </c>
    </row>
    <row r="145" spans="1:8" x14ac:dyDescent="0.3">
      <c r="A145" s="3" t="s">
        <v>405</v>
      </c>
      <c r="B145" s="3" t="s">
        <v>23</v>
      </c>
      <c r="C145" s="3">
        <v>1946</v>
      </c>
      <c r="D145" s="3">
        <v>270</v>
      </c>
      <c r="E145" s="3">
        <v>198350</v>
      </c>
      <c r="F145" s="3">
        <v>7.5</v>
      </c>
      <c r="G145" s="3">
        <v>11805</v>
      </c>
      <c r="H145" s="13">
        <f t="shared" si="4"/>
        <v>1945.8638769851273</v>
      </c>
    </row>
    <row r="146" spans="1:8" x14ac:dyDescent="0.3">
      <c r="A146" s="3" t="s">
        <v>304</v>
      </c>
      <c r="B146" s="3" t="s">
        <v>23</v>
      </c>
      <c r="C146" s="3">
        <v>1432</v>
      </c>
      <c r="D146" s="3">
        <v>425</v>
      </c>
      <c r="E146" s="3">
        <v>29589</v>
      </c>
      <c r="F146" s="3">
        <v>4.5</v>
      </c>
      <c r="G146" s="3">
        <v>42964</v>
      </c>
      <c r="H146" s="13">
        <f t="shared" si="4"/>
        <v>1430.5636554124844</v>
      </c>
    </row>
    <row r="147" spans="1:8" x14ac:dyDescent="0.3">
      <c r="A147" s="3" t="s">
        <v>406</v>
      </c>
      <c r="B147" s="3" t="s">
        <v>23</v>
      </c>
      <c r="C147" s="3">
        <v>353</v>
      </c>
      <c r="D147" s="3">
        <v>300</v>
      </c>
      <c r="E147" s="3">
        <v>142507</v>
      </c>
      <c r="F147" s="3">
        <v>5.3</v>
      </c>
      <c r="G147" s="3">
        <v>11035</v>
      </c>
      <c r="H147" s="13">
        <f t="shared" si="4"/>
        <v>352.7894840253461</v>
      </c>
    </row>
    <row r="148" spans="1:8" x14ac:dyDescent="0.3">
      <c r="A148" s="3" t="s">
        <v>407</v>
      </c>
      <c r="B148" s="3" t="s">
        <v>23</v>
      </c>
      <c r="C148" s="3">
        <v>1147</v>
      </c>
      <c r="D148" s="3">
        <v>388</v>
      </c>
      <c r="E148" s="3">
        <v>333851</v>
      </c>
      <c r="F148" s="3">
        <v>2.44</v>
      </c>
      <c r="G148" s="3">
        <v>8471</v>
      </c>
      <c r="H148" s="13">
        <f t="shared" si="4"/>
        <v>1146.8837804889008</v>
      </c>
    </row>
    <row r="149" spans="1:8" x14ac:dyDescent="0.3">
      <c r="A149" s="3" t="s">
        <v>76</v>
      </c>
      <c r="B149" s="3" t="s">
        <v>23</v>
      </c>
      <c r="C149" s="3">
        <v>1222</v>
      </c>
      <c r="D149" s="3">
        <v>274</v>
      </c>
      <c r="E149" s="3">
        <v>487289</v>
      </c>
      <c r="F149" s="3">
        <v>3.16</v>
      </c>
      <c r="G149" s="3">
        <v>32500</v>
      </c>
      <c r="H149" s="13">
        <f t="shared" si="4"/>
        <v>1221.9437705345288</v>
      </c>
    </row>
    <row r="150" spans="1:8" x14ac:dyDescent="0.3">
      <c r="A150" s="3" t="s">
        <v>329</v>
      </c>
      <c r="B150" s="3" t="s">
        <v>23</v>
      </c>
      <c r="C150" s="3">
        <v>1581</v>
      </c>
      <c r="D150" s="3">
        <v>71</v>
      </c>
      <c r="E150" s="3">
        <v>484364</v>
      </c>
      <c r="F150" s="3">
        <v>3.55</v>
      </c>
      <c r="G150" s="3">
        <v>16149</v>
      </c>
      <c r="H150" s="13">
        <f t="shared" si="4"/>
        <v>1580.9853416025965</v>
      </c>
    </row>
    <row r="151" spans="1:8" x14ac:dyDescent="0.3">
      <c r="A151" s="3" t="s">
        <v>252</v>
      </c>
      <c r="B151" s="3" t="s">
        <v>23</v>
      </c>
      <c r="C151" s="3">
        <v>337</v>
      </c>
      <c r="D151" s="3">
        <v>68</v>
      </c>
      <c r="E151" s="3">
        <v>456298</v>
      </c>
      <c r="F151" s="3">
        <v>7.57</v>
      </c>
      <c r="G151" s="3">
        <v>4007</v>
      </c>
      <c r="H151" s="13">
        <f t="shared" si="4"/>
        <v>336.98509745824003</v>
      </c>
    </row>
    <row r="152" spans="1:8" x14ac:dyDescent="0.3">
      <c r="A152" s="3" t="s">
        <v>351</v>
      </c>
      <c r="B152" s="3" t="s">
        <v>13</v>
      </c>
      <c r="C152" s="3">
        <v>1535</v>
      </c>
      <c r="D152" s="3">
        <v>445</v>
      </c>
      <c r="E152" s="3">
        <v>395536</v>
      </c>
      <c r="F152" s="3">
        <v>4.1100000000000003</v>
      </c>
      <c r="G152" s="3">
        <v>30671</v>
      </c>
      <c r="H152" s="13">
        <f t="shared" si="4"/>
        <v>1534.8874944379272</v>
      </c>
    </row>
    <row r="153" spans="1:8" x14ac:dyDescent="0.3">
      <c r="A153" s="3" t="s">
        <v>271</v>
      </c>
      <c r="B153" s="3" t="s">
        <v>13</v>
      </c>
      <c r="C153" s="3">
        <v>1197</v>
      </c>
      <c r="D153" s="3">
        <v>203</v>
      </c>
      <c r="E153" s="3">
        <v>413878</v>
      </c>
      <c r="F153" s="3">
        <v>3.16</v>
      </c>
      <c r="G153" s="3">
        <v>21205</v>
      </c>
      <c r="H153" s="13">
        <f t="shared" si="4"/>
        <v>1196.9509517297367</v>
      </c>
    </row>
    <row r="154" spans="1:8" x14ac:dyDescent="0.3">
      <c r="A154" s="3" t="s">
        <v>206</v>
      </c>
      <c r="B154" s="3" t="s">
        <v>13</v>
      </c>
      <c r="C154" s="3">
        <v>403</v>
      </c>
      <c r="D154" s="3">
        <v>66</v>
      </c>
      <c r="E154" s="3">
        <v>382851</v>
      </c>
      <c r="F154" s="3">
        <v>3.49</v>
      </c>
      <c r="G154" s="3">
        <v>24313</v>
      </c>
      <c r="H154" s="13">
        <f t="shared" si="4"/>
        <v>402.98276091743264</v>
      </c>
    </row>
    <row r="155" spans="1:8" x14ac:dyDescent="0.3">
      <c r="A155" s="3" t="s">
        <v>122</v>
      </c>
      <c r="B155" s="3" t="s">
        <v>13</v>
      </c>
      <c r="C155" s="3">
        <v>308</v>
      </c>
      <c r="D155" s="3">
        <v>431</v>
      </c>
      <c r="E155" s="3">
        <v>426184</v>
      </c>
      <c r="F155" s="3">
        <v>2.62</v>
      </c>
      <c r="G155" s="3">
        <v>1783</v>
      </c>
      <c r="H155" s="13">
        <f t="shared" si="4"/>
        <v>307.89886997165542</v>
      </c>
    </row>
    <row r="156" spans="1:8" x14ac:dyDescent="0.3">
      <c r="A156" s="3" t="s">
        <v>376</v>
      </c>
      <c r="B156" s="3" t="s">
        <v>13</v>
      </c>
      <c r="C156" s="3">
        <v>144</v>
      </c>
      <c r="D156" s="3">
        <v>53</v>
      </c>
      <c r="E156" s="3">
        <v>113678</v>
      </c>
      <c r="F156" s="3">
        <v>8.7200000000000006</v>
      </c>
      <c r="G156" s="3">
        <v>30060</v>
      </c>
      <c r="H156" s="13">
        <f t="shared" si="4"/>
        <v>143.95337708263693</v>
      </c>
    </row>
    <row r="157" spans="1:8" x14ac:dyDescent="0.3">
      <c r="A157" s="3" t="s">
        <v>390</v>
      </c>
      <c r="B157" s="3" t="s">
        <v>13</v>
      </c>
      <c r="C157" s="3">
        <v>883</v>
      </c>
      <c r="D157" s="3">
        <v>369</v>
      </c>
      <c r="E157" s="3">
        <v>233694</v>
      </c>
      <c r="F157" s="3">
        <v>2.88</v>
      </c>
      <c r="G157" s="3">
        <v>15071</v>
      </c>
      <c r="H157" s="13">
        <f t="shared" si="4"/>
        <v>882.84210120927366</v>
      </c>
    </row>
    <row r="158" spans="1:8" x14ac:dyDescent="0.3">
      <c r="A158" s="3" t="s">
        <v>222</v>
      </c>
      <c r="B158" s="3" t="s">
        <v>13</v>
      </c>
      <c r="C158" s="3">
        <v>224</v>
      </c>
      <c r="D158" s="3">
        <v>64</v>
      </c>
      <c r="E158" s="3">
        <v>156683</v>
      </c>
      <c r="F158" s="3">
        <v>4.5599999999999996</v>
      </c>
      <c r="G158" s="3">
        <v>28474</v>
      </c>
      <c r="H158" s="13">
        <f t="shared" si="4"/>
        <v>223.95915319466692</v>
      </c>
    </row>
    <row r="159" spans="1:8" x14ac:dyDescent="0.3">
      <c r="A159" s="3" t="s">
        <v>391</v>
      </c>
      <c r="B159" s="3" t="s">
        <v>13</v>
      </c>
      <c r="C159" s="3">
        <v>804</v>
      </c>
      <c r="D159" s="3">
        <v>487</v>
      </c>
      <c r="E159" s="3">
        <v>306564</v>
      </c>
      <c r="F159" s="3">
        <v>5.52</v>
      </c>
      <c r="G159" s="3">
        <v>26452</v>
      </c>
      <c r="H159" s="13">
        <f t="shared" si="4"/>
        <v>803.84114246943545</v>
      </c>
    </row>
    <row r="160" spans="1:8" x14ac:dyDescent="0.3">
      <c r="A160" s="3" t="s">
        <v>56</v>
      </c>
      <c r="B160" s="3" t="s">
        <v>13</v>
      </c>
      <c r="C160" s="3">
        <v>576</v>
      </c>
      <c r="D160" s="3">
        <v>101</v>
      </c>
      <c r="E160" s="3">
        <v>62499</v>
      </c>
      <c r="F160" s="3">
        <v>3.48</v>
      </c>
      <c r="G160" s="3">
        <v>16804</v>
      </c>
      <c r="H160" s="13">
        <f t="shared" si="4"/>
        <v>575.83839741435861</v>
      </c>
    </row>
    <row r="161" spans="1:8" x14ac:dyDescent="0.3">
      <c r="A161" s="3" t="s">
        <v>325</v>
      </c>
      <c r="B161" s="3" t="s">
        <v>13</v>
      </c>
      <c r="C161" s="3">
        <v>460</v>
      </c>
      <c r="D161" s="3">
        <v>141</v>
      </c>
      <c r="E161" s="3">
        <v>320650</v>
      </c>
      <c r="F161" s="3">
        <v>4.04</v>
      </c>
      <c r="G161" s="3">
        <v>49372</v>
      </c>
      <c r="H161" s="13">
        <f t="shared" si="4"/>
        <v>459.95602682052083</v>
      </c>
    </row>
    <row r="162" spans="1:8" x14ac:dyDescent="0.3">
      <c r="A162" s="3" t="s">
        <v>248</v>
      </c>
      <c r="B162" s="3" t="s">
        <v>13</v>
      </c>
      <c r="C162" s="3">
        <v>1210</v>
      </c>
      <c r="D162" s="3">
        <v>178</v>
      </c>
      <c r="E162" s="3">
        <v>102042</v>
      </c>
      <c r="F162" s="3">
        <v>5.42</v>
      </c>
      <c r="G162" s="3">
        <v>6915</v>
      </c>
      <c r="H162" s="13">
        <f t="shared" ref="H162:H193" si="5">C162-D162/E162*100</f>
        <v>1209.8255620234804</v>
      </c>
    </row>
    <row r="163" spans="1:8" x14ac:dyDescent="0.3">
      <c r="A163" s="3" t="s">
        <v>178</v>
      </c>
      <c r="B163" s="3" t="s">
        <v>13</v>
      </c>
      <c r="C163" s="3">
        <v>221</v>
      </c>
      <c r="D163" s="3">
        <v>31</v>
      </c>
      <c r="E163" s="3">
        <v>87443</v>
      </c>
      <c r="F163" s="3">
        <v>6.19</v>
      </c>
      <c r="G163" s="3">
        <v>10283</v>
      </c>
      <c r="H163" s="13">
        <f t="shared" si="5"/>
        <v>220.9645483343435</v>
      </c>
    </row>
    <row r="164" spans="1:8" x14ac:dyDescent="0.3">
      <c r="A164" s="3" t="s">
        <v>97</v>
      </c>
      <c r="B164" s="3" t="s">
        <v>13</v>
      </c>
      <c r="C164" s="3">
        <v>422</v>
      </c>
      <c r="D164" s="3">
        <v>394</v>
      </c>
      <c r="E164" s="3">
        <v>239044</v>
      </c>
      <c r="F164" s="3">
        <v>7.83</v>
      </c>
      <c r="G164" s="3">
        <v>32929</v>
      </c>
      <c r="H164" s="13">
        <f t="shared" si="5"/>
        <v>421.83517678753702</v>
      </c>
    </row>
    <row r="165" spans="1:8" x14ac:dyDescent="0.3">
      <c r="A165" s="3" t="s">
        <v>363</v>
      </c>
      <c r="B165" s="3" t="s">
        <v>13</v>
      </c>
      <c r="C165" s="3">
        <v>728</v>
      </c>
      <c r="D165" s="3">
        <v>395</v>
      </c>
      <c r="E165" s="3">
        <v>370971</v>
      </c>
      <c r="F165" s="3">
        <v>3.86</v>
      </c>
      <c r="G165" s="3">
        <v>12646</v>
      </c>
      <c r="H165" s="13">
        <f t="shared" si="5"/>
        <v>727.8935226742791</v>
      </c>
    </row>
    <row r="166" spans="1:8" x14ac:dyDescent="0.3">
      <c r="A166" s="3" t="s">
        <v>285</v>
      </c>
      <c r="B166" s="3" t="s">
        <v>13</v>
      </c>
      <c r="C166" s="3">
        <v>1409</v>
      </c>
      <c r="D166" s="3">
        <v>309</v>
      </c>
      <c r="E166" s="3">
        <v>64583</v>
      </c>
      <c r="F166" s="3">
        <v>8.99</v>
      </c>
      <c r="G166" s="3">
        <v>10217</v>
      </c>
      <c r="H166" s="13">
        <f t="shared" si="5"/>
        <v>1408.5215459176563</v>
      </c>
    </row>
    <row r="167" spans="1:8" x14ac:dyDescent="0.3">
      <c r="A167" s="3" t="s">
        <v>392</v>
      </c>
      <c r="B167" s="3" t="s">
        <v>13</v>
      </c>
      <c r="C167" s="3">
        <v>123</v>
      </c>
      <c r="D167" s="3">
        <v>155</v>
      </c>
      <c r="E167" s="3">
        <v>119934</v>
      </c>
      <c r="F167" s="3">
        <v>3.5</v>
      </c>
      <c r="G167" s="3">
        <v>5442</v>
      </c>
      <c r="H167" s="13">
        <f t="shared" si="5"/>
        <v>122.87076225257225</v>
      </c>
    </row>
    <row r="168" spans="1:8" x14ac:dyDescent="0.3">
      <c r="A168" s="3" t="s">
        <v>393</v>
      </c>
      <c r="B168" s="3" t="s">
        <v>13</v>
      </c>
      <c r="C168" s="3">
        <v>1218</v>
      </c>
      <c r="D168" s="3">
        <v>212</v>
      </c>
      <c r="E168" s="3">
        <v>63177</v>
      </c>
      <c r="F168" s="3">
        <v>8.1300000000000008</v>
      </c>
      <c r="G168" s="3">
        <v>38883</v>
      </c>
      <c r="H168" s="13">
        <f t="shared" si="5"/>
        <v>1217.6644348417938</v>
      </c>
    </row>
    <row r="169" spans="1:8" x14ac:dyDescent="0.3">
      <c r="A169" s="3" t="s">
        <v>394</v>
      </c>
      <c r="B169" s="3" t="s">
        <v>13</v>
      </c>
      <c r="C169" s="3">
        <v>1918</v>
      </c>
      <c r="D169" s="3">
        <v>212</v>
      </c>
      <c r="E169" s="3">
        <v>94360</v>
      </c>
      <c r="F169" s="3">
        <v>7.36</v>
      </c>
      <c r="G169" s="3">
        <v>36851</v>
      </c>
      <c r="H169" s="13">
        <f t="shared" si="5"/>
        <v>1917.7753285290378</v>
      </c>
    </row>
    <row r="170" spans="1:8" x14ac:dyDescent="0.3">
      <c r="A170" s="3" t="s">
        <v>395</v>
      </c>
      <c r="B170" s="3" t="s">
        <v>13</v>
      </c>
      <c r="C170" s="3">
        <v>307</v>
      </c>
      <c r="D170" s="3">
        <v>189</v>
      </c>
      <c r="E170" s="3">
        <v>117767</v>
      </c>
      <c r="F170" s="3">
        <v>9.3000000000000007</v>
      </c>
      <c r="G170" s="3">
        <v>27822</v>
      </c>
      <c r="H170" s="13">
        <f t="shared" si="5"/>
        <v>306.83951361586861</v>
      </c>
    </row>
    <row r="171" spans="1:8" x14ac:dyDescent="0.3">
      <c r="A171" s="3" t="s">
        <v>396</v>
      </c>
      <c r="B171" s="3" t="s">
        <v>13</v>
      </c>
      <c r="C171" s="3">
        <v>414</v>
      </c>
      <c r="D171" s="3">
        <v>47</v>
      </c>
      <c r="E171" s="3">
        <v>199178</v>
      </c>
      <c r="F171" s="3">
        <v>1.53</v>
      </c>
      <c r="G171" s="3">
        <v>6742</v>
      </c>
      <c r="H171" s="13">
        <f t="shared" si="5"/>
        <v>413.9764030163974</v>
      </c>
    </row>
    <row r="172" spans="1:8" x14ac:dyDescent="0.3">
      <c r="A172" s="3" t="s">
        <v>159</v>
      </c>
      <c r="B172" s="3" t="s">
        <v>13</v>
      </c>
      <c r="C172" s="3">
        <v>1707</v>
      </c>
      <c r="D172" s="3">
        <v>223</v>
      </c>
      <c r="E172" s="3">
        <v>256910</v>
      </c>
      <c r="F172" s="3">
        <v>5.41</v>
      </c>
      <c r="G172" s="3">
        <v>44321</v>
      </c>
      <c r="H172" s="13">
        <f t="shared" si="5"/>
        <v>1706.9131991748084</v>
      </c>
    </row>
    <row r="173" spans="1:8" x14ac:dyDescent="0.3">
      <c r="A173" s="3" t="s">
        <v>72</v>
      </c>
      <c r="B173" s="3" t="s">
        <v>13</v>
      </c>
      <c r="C173" s="3">
        <v>1814</v>
      </c>
      <c r="D173" s="3">
        <v>157</v>
      </c>
      <c r="E173" s="3">
        <v>305827</v>
      </c>
      <c r="F173" s="3">
        <v>1.99</v>
      </c>
      <c r="G173" s="3">
        <v>46643</v>
      </c>
      <c r="H173" s="13">
        <f t="shared" si="5"/>
        <v>1813.948663787043</v>
      </c>
    </row>
    <row r="174" spans="1:8" x14ac:dyDescent="0.3">
      <c r="A174" s="3" t="s">
        <v>333</v>
      </c>
      <c r="B174" s="3" t="s">
        <v>13</v>
      </c>
      <c r="C174" s="3">
        <v>1507</v>
      </c>
      <c r="D174" s="3">
        <v>463</v>
      </c>
      <c r="E174" s="3">
        <v>258944</v>
      </c>
      <c r="F174" s="3">
        <v>6.08</v>
      </c>
      <c r="G174" s="3">
        <v>16443</v>
      </c>
      <c r="H174" s="13">
        <f t="shared" si="5"/>
        <v>1506.8211968610974</v>
      </c>
    </row>
    <row r="175" spans="1:8" x14ac:dyDescent="0.3">
      <c r="A175" s="3" t="s">
        <v>397</v>
      </c>
      <c r="B175" s="3" t="s">
        <v>13</v>
      </c>
      <c r="C175" s="3">
        <v>454</v>
      </c>
      <c r="D175" s="3">
        <v>105</v>
      </c>
      <c r="E175" s="3">
        <v>121091</v>
      </c>
      <c r="F175" s="3">
        <v>7.97</v>
      </c>
      <c r="G175" s="3">
        <v>9269</v>
      </c>
      <c r="H175" s="13">
        <f t="shared" si="5"/>
        <v>453.91328835338714</v>
      </c>
    </row>
    <row r="176" spans="1:8" x14ac:dyDescent="0.3">
      <c r="A176" s="3" t="s">
        <v>188</v>
      </c>
      <c r="B176" s="3" t="s">
        <v>13</v>
      </c>
      <c r="C176" s="3">
        <v>278</v>
      </c>
      <c r="D176" s="3">
        <v>218</v>
      </c>
      <c r="E176" s="3">
        <v>301695</v>
      </c>
      <c r="F176" s="3">
        <v>4.68</v>
      </c>
      <c r="G176" s="3">
        <v>22373</v>
      </c>
      <c r="H176" s="13">
        <f t="shared" si="5"/>
        <v>277.92774159333101</v>
      </c>
    </row>
    <row r="177" spans="1:8" x14ac:dyDescent="0.3">
      <c r="A177" s="3" t="s">
        <v>105</v>
      </c>
      <c r="B177" s="3" t="s">
        <v>13</v>
      </c>
      <c r="C177" s="3">
        <v>1293</v>
      </c>
      <c r="D177" s="3">
        <v>408</v>
      </c>
      <c r="E177" s="3">
        <v>62535</v>
      </c>
      <c r="F177" s="3">
        <v>8.9</v>
      </c>
      <c r="G177" s="3">
        <v>37876</v>
      </c>
      <c r="H177" s="13">
        <f t="shared" si="5"/>
        <v>1292.3475653633966</v>
      </c>
    </row>
    <row r="178" spans="1:8" x14ac:dyDescent="0.3">
      <c r="A178" s="3" t="s">
        <v>398</v>
      </c>
      <c r="B178" s="3" t="s">
        <v>13</v>
      </c>
      <c r="C178" s="3">
        <v>452</v>
      </c>
      <c r="D178" s="3">
        <v>161</v>
      </c>
      <c r="E178" s="3">
        <v>221274</v>
      </c>
      <c r="F178" s="3">
        <v>2.65</v>
      </c>
      <c r="G178" s="3">
        <v>40888</v>
      </c>
      <c r="H178" s="13">
        <f t="shared" si="5"/>
        <v>451.92723953107912</v>
      </c>
    </row>
    <row r="179" spans="1:8" x14ac:dyDescent="0.3">
      <c r="A179" s="3" t="s">
        <v>281</v>
      </c>
      <c r="B179" s="3" t="s">
        <v>13</v>
      </c>
      <c r="C179" s="3">
        <v>736</v>
      </c>
      <c r="D179" s="3">
        <v>163</v>
      </c>
      <c r="E179" s="3">
        <v>451894</v>
      </c>
      <c r="F179" s="3">
        <v>5.43</v>
      </c>
      <c r="G179" s="3">
        <v>46625</v>
      </c>
      <c r="H179" s="13">
        <f t="shared" si="5"/>
        <v>735.96392959410832</v>
      </c>
    </row>
    <row r="180" spans="1:8" x14ac:dyDescent="0.3">
      <c r="A180" s="3" t="s">
        <v>213</v>
      </c>
      <c r="B180" s="3" t="s">
        <v>13</v>
      </c>
      <c r="C180" s="3">
        <v>1004</v>
      </c>
      <c r="D180" s="3">
        <v>128</v>
      </c>
      <c r="E180" s="3">
        <v>488901</v>
      </c>
      <c r="F180" s="3">
        <v>8.09</v>
      </c>
      <c r="G180" s="3">
        <v>49558</v>
      </c>
      <c r="H180" s="13">
        <f t="shared" si="5"/>
        <v>1003.9738188303971</v>
      </c>
    </row>
    <row r="181" spans="1:8" x14ac:dyDescent="0.3">
      <c r="A181" s="3" t="s">
        <v>135</v>
      </c>
      <c r="B181" s="3" t="s">
        <v>13</v>
      </c>
      <c r="C181" s="3">
        <v>1900</v>
      </c>
      <c r="D181" s="3">
        <v>311</v>
      </c>
      <c r="E181" s="3">
        <v>25177</v>
      </c>
      <c r="F181" s="3">
        <v>2.89</v>
      </c>
      <c r="G181" s="3">
        <v>14154</v>
      </c>
      <c r="H181" s="13">
        <f t="shared" si="5"/>
        <v>1898.7647456011439</v>
      </c>
    </row>
    <row r="182" spans="1:8" x14ac:dyDescent="0.3">
      <c r="A182" s="3" t="s">
        <v>399</v>
      </c>
      <c r="B182" s="3" t="s">
        <v>13</v>
      </c>
      <c r="C182" s="3">
        <v>1495</v>
      </c>
      <c r="D182" s="3">
        <v>35</v>
      </c>
      <c r="E182" s="3">
        <v>136845</v>
      </c>
      <c r="F182" s="3">
        <v>4.4800000000000004</v>
      </c>
      <c r="G182" s="3">
        <v>39931</v>
      </c>
      <c r="H182" s="13">
        <f t="shared" si="5"/>
        <v>1494.974423617962</v>
      </c>
    </row>
    <row r="183" spans="1:8" x14ac:dyDescent="0.3">
      <c r="A183" s="3" t="s">
        <v>319</v>
      </c>
      <c r="B183" s="3" t="s">
        <v>13</v>
      </c>
      <c r="C183" s="3">
        <v>891</v>
      </c>
      <c r="D183" s="3">
        <v>45</v>
      </c>
      <c r="E183" s="3">
        <v>95410</v>
      </c>
      <c r="F183" s="3">
        <v>8.33</v>
      </c>
      <c r="G183" s="3">
        <v>15045</v>
      </c>
      <c r="H183" s="13">
        <f t="shared" si="5"/>
        <v>890.95283513258573</v>
      </c>
    </row>
    <row r="184" spans="1:8" x14ac:dyDescent="0.3">
      <c r="A184" s="3" t="s">
        <v>400</v>
      </c>
      <c r="B184" s="3" t="s">
        <v>13</v>
      </c>
      <c r="C184" s="3">
        <v>1331</v>
      </c>
      <c r="D184" s="3">
        <v>430</v>
      </c>
      <c r="E184" s="3">
        <v>14437</v>
      </c>
      <c r="F184" s="3">
        <v>3.29</v>
      </c>
      <c r="G184" s="3">
        <v>40868</v>
      </c>
      <c r="H184" s="13">
        <f t="shared" si="5"/>
        <v>1328.02154187158</v>
      </c>
    </row>
    <row r="185" spans="1:8" x14ac:dyDescent="0.3">
      <c r="A185" s="3" t="s">
        <v>401</v>
      </c>
      <c r="B185" s="3" t="s">
        <v>13</v>
      </c>
      <c r="C185" s="3">
        <v>1166</v>
      </c>
      <c r="D185" s="3">
        <v>442</v>
      </c>
      <c r="E185" s="3">
        <v>336949</v>
      </c>
      <c r="F185" s="3">
        <v>4.68</v>
      </c>
      <c r="G185" s="3">
        <v>7705</v>
      </c>
      <c r="H185" s="13">
        <f t="shared" si="5"/>
        <v>1165.8688228782398</v>
      </c>
    </row>
    <row r="186" spans="1:8" x14ac:dyDescent="0.3">
      <c r="A186" s="3" t="s">
        <v>93</v>
      </c>
      <c r="B186" s="3" t="s">
        <v>13</v>
      </c>
      <c r="C186" s="3">
        <v>1411</v>
      </c>
      <c r="D186" s="3">
        <v>186</v>
      </c>
      <c r="E186" s="3">
        <v>461669</v>
      </c>
      <c r="F186" s="3">
        <v>3.72</v>
      </c>
      <c r="G186" s="3">
        <v>43999</v>
      </c>
      <c r="H186" s="13">
        <f t="shared" si="5"/>
        <v>1410.9597113949606</v>
      </c>
    </row>
    <row r="187" spans="1:8" x14ac:dyDescent="0.3">
      <c r="A187" s="3" t="s">
        <v>402</v>
      </c>
      <c r="B187" s="3" t="s">
        <v>13</v>
      </c>
      <c r="C187" s="3">
        <v>152</v>
      </c>
      <c r="D187" s="3">
        <v>355</v>
      </c>
      <c r="E187" s="3">
        <v>270766</v>
      </c>
      <c r="F187" s="3">
        <v>9.48</v>
      </c>
      <c r="G187" s="3">
        <v>18001</v>
      </c>
      <c r="H187" s="13">
        <f t="shared" si="5"/>
        <v>151.8688904810796</v>
      </c>
    </row>
    <row r="188" spans="1:8" x14ac:dyDescent="0.3">
      <c r="A188" s="3" t="s">
        <v>275</v>
      </c>
      <c r="B188" s="3" t="s">
        <v>13</v>
      </c>
      <c r="C188" s="3">
        <v>1707</v>
      </c>
      <c r="D188" s="3">
        <v>263</v>
      </c>
      <c r="E188" s="3">
        <v>485280</v>
      </c>
      <c r="F188" s="3">
        <v>9.0299999999999994</v>
      </c>
      <c r="G188" s="3">
        <v>24494</v>
      </c>
      <c r="H188" s="13">
        <f t="shared" si="5"/>
        <v>1706.9458044840092</v>
      </c>
    </row>
    <row r="189" spans="1:8" x14ac:dyDescent="0.3">
      <c r="A189" s="3" t="s">
        <v>210</v>
      </c>
      <c r="B189" s="3" t="s">
        <v>13</v>
      </c>
      <c r="C189" s="3">
        <v>1662</v>
      </c>
      <c r="D189" s="3">
        <v>487</v>
      </c>
      <c r="E189" s="3">
        <v>105980</v>
      </c>
      <c r="F189" s="3">
        <v>9.08</v>
      </c>
      <c r="G189" s="3">
        <v>22996</v>
      </c>
      <c r="H189" s="13">
        <f t="shared" si="5"/>
        <v>1661.5404793357238</v>
      </c>
    </row>
    <row r="190" spans="1:8" x14ac:dyDescent="0.3">
      <c r="A190" s="3" t="s">
        <v>131</v>
      </c>
      <c r="B190" s="3" t="s">
        <v>13</v>
      </c>
      <c r="C190" s="3">
        <v>1063</v>
      </c>
      <c r="D190" s="3">
        <v>47</v>
      </c>
      <c r="E190" s="3">
        <v>464239</v>
      </c>
      <c r="F190" s="3">
        <v>6.58</v>
      </c>
      <c r="G190" s="3">
        <v>39031</v>
      </c>
      <c r="H190" s="13">
        <f t="shared" si="5"/>
        <v>1062.9898759044372</v>
      </c>
    </row>
    <row r="191" spans="1:8" x14ac:dyDescent="0.3">
      <c r="A191" s="3" t="s">
        <v>355</v>
      </c>
      <c r="B191" s="3" t="s">
        <v>13</v>
      </c>
      <c r="C191" s="3">
        <v>510</v>
      </c>
      <c r="D191" s="3">
        <v>195</v>
      </c>
      <c r="E191" s="3">
        <v>224534</v>
      </c>
      <c r="F191" s="3">
        <v>9.4</v>
      </c>
      <c r="G191" s="3">
        <v>30987</v>
      </c>
      <c r="H191" s="13">
        <f t="shared" si="5"/>
        <v>509.9131534645087</v>
      </c>
    </row>
    <row r="192" spans="1:8" x14ac:dyDescent="0.3">
      <c r="A192" s="3" t="s">
        <v>403</v>
      </c>
      <c r="B192" s="3" t="s">
        <v>13</v>
      </c>
      <c r="C192" s="3">
        <v>1658</v>
      </c>
      <c r="D192" s="3">
        <v>416</v>
      </c>
      <c r="E192" s="3">
        <v>98397</v>
      </c>
      <c r="F192" s="3">
        <v>6.11</v>
      </c>
      <c r="G192" s="3">
        <v>11383</v>
      </c>
      <c r="H192" s="13">
        <f t="shared" si="5"/>
        <v>1657.5772228828114</v>
      </c>
    </row>
    <row r="193" spans="1:8" x14ac:dyDescent="0.3">
      <c r="A193" s="3" t="s">
        <v>404</v>
      </c>
      <c r="B193" s="3" t="s">
        <v>13</v>
      </c>
      <c r="C193" s="3">
        <v>1596</v>
      </c>
      <c r="D193" s="3">
        <v>211</v>
      </c>
      <c r="E193" s="3">
        <v>17380</v>
      </c>
      <c r="F193" s="3">
        <v>8.64</v>
      </c>
      <c r="G193" s="3">
        <v>35801</v>
      </c>
      <c r="H193" s="13">
        <f t="shared" si="5"/>
        <v>1594.7859608745684</v>
      </c>
    </row>
    <row r="194" spans="1:8" x14ac:dyDescent="0.3">
      <c r="A194" s="3" t="s">
        <v>128</v>
      </c>
      <c r="B194" s="3" t="s">
        <v>13</v>
      </c>
      <c r="C194" s="3">
        <v>442</v>
      </c>
      <c r="D194" s="3">
        <v>53</v>
      </c>
      <c r="E194" s="3">
        <v>441931</v>
      </c>
      <c r="F194" s="3">
        <v>1.87</v>
      </c>
      <c r="G194" s="3">
        <v>20059</v>
      </c>
      <c r="H194" s="13">
        <f t="shared" ref="H194:H201" si="6">C194-D194/E194*100</f>
        <v>441.98800717759104</v>
      </c>
    </row>
    <row r="195" spans="1:8" x14ac:dyDescent="0.3">
      <c r="A195" s="3" t="s">
        <v>405</v>
      </c>
      <c r="B195" s="3" t="s">
        <v>13</v>
      </c>
      <c r="C195" s="3">
        <v>1957</v>
      </c>
      <c r="D195" s="3">
        <v>490</v>
      </c>
      <c r="E195" s="3">
        <v>435726</v>
      </c>
      <c r="F195" s="3">
        <v>4.7300000000000004</v>
      </c>
      <c r="G195" s="3">
        <v>15969</v>
      </c>
      <c r="H195" s="13">
        <f t="shared" si="6"/>
        <v>1956.8875440070135</v>
      </c>
    </row>
    <row r="196" spans="1:8" x14ac:dyDescent="0.3">
      <c r="A196" s="3" t="s">
        <v>304</v>
      </c>
      <c r="B196" s="3" t="s">
        <v>13</v>
      </c>
      <c r="C196" s="3">
        <v>623</v>
      </c>
      <c r="D196" s="3">
        <v>414</v>
      </c>
      <c r="E196" s="3">
        <v>290354</v>
      </c>
      <c r="F196" s="3">
        <v>6.49</v>
      </c>
      <c r="G196" s="3">
        <v>39923</v>
      </c>
      <c r="H196" s="13">
        <f t="shared" si="6"/>
        <v>622.85741543081895</v>
      </c>
    </row>
    <row r="197" spans="1:8" x14ac:dyDescent="0.3">
      <c r="A197" s="3" t="s">
        <v>406</v>
      </c>
      <c r="B197" s="3" t="s">
        <v>13</v>
      </c>
      <c r="C197" s="3">
        <v>520</v>
      </c>
      <c r="D197" s="3">
        <v>375</v>
      </c>
      <c r="E197" s="3">
        <v>369525</v>
      </c>
      <c r="F197" s="3">
        <v>6.54</v>
      </c>
      <c r="G197" s="3">
        <v>20733</v>
      </c>
      <c r="H197" s="13">
        <f t="shared" si="6"/>
        <v>519.89851836817536</v>
      </c>
    </row>
    <row r="198" spans="1:8" x14ac:dyDescent="0.3">
      <c r="A198" s="3" t="s">
        <v>407</v>
      </c>
      <c r="B198" s="3" t="s">
        <v>13</v>
      </c>
      <c r="C198" s="3">
        <v>1707</v>
      </c>
      <c r="D198" s="3">
        <v>74</v>
      </c>
      <c r="E198" s="3">
        <v>270958</v>
      </c>
      <c r="F198" s="3">
        <v>3.09</v>
      </c>
      <c r="G198" s="3">
        <v>14090</v>
      </c>
      <c r="H198" s="13">
        <f t="shared" si="6"/>
        <v>1706.9726894943128</v>
      </c>
    </row>
    <row r="199" spans="1:8" x14ac:dyDescent="0.3">
      <c r="A199" s="3" t="s">
        <v>76</v>
      </c>
      <c r="B199" s="3" t="s">
        <v>13</v>
      </c>
      <c r="C199" s="3">
        <v>777</v>
      </c>
      <c r="D199" s="3">
        <v>140</v>
      </c>
      <c r="E199" s="3">
        <v>11435</v>
      </c>
      <c r="F199" s="3">
        <v>1.6</v>
      </c>
      <c r="G199" s="3">
        <v>6832</v>
      </c>
      <c r="H199" s="13">
        <f t="shared" si="6"/>
        <v>775.77568867512025</v>
      </c>
    </row>
    <row r="200" spans="1:8" x14ac:dyDescent="0.3">
      <c r="A200" s="3" t="s">
        <v>329</v>
      </c>
      <c r="B200" s="3" t="s">
        <v>13</v>
      </c>
      <c r="C200" s="3">
        <v>1035</v>
      </c>
      <c r="D200" s="3">
        <v>171</v>
      </c>
      <c r="E200" s="3">
        <v>148477</v>
      </c>
      <c r="F200" s="3">
        <v>5.21</v>
      </c>
      <c r="G200" s="3">
        <v>7541</v>
      </c>
      <c r="H200" s="13">
        <f t="shared" si="6"/>
        <v>1034.8848306471709</v>
      </c>
    </row>
    <row r="201" spans="1:8" x14ac:dyDescent="0.3">
      <c r="A201" s="3" t="s">
        <v>252</v>
      </c>
      <c r="B201" s="3" t="s">
        <v>13</v>
      </c>
      <c r="C201" s="3">
        <v>119</v>
      </c>
      <c r="D201" s="3">
        <v>456</v>
      </c>
      <c r="E201" s="3">
        <v>82558</v>
      </c>
      <c r="F201" s="3">
        <v>6.81</v>
      </c>
      <c r="G201" s="3">
        <v>12174</v>
      </c>
      <c r="H201" s="13">
        <f t="shared" si="6"/>
        <v>118.44766103830035</v>
      </c>
    </row>
    <row r="205" spans="1:8" x14ac:dyDescent="0.3">
      <c r="A205" s="21" t="s">
        <v>11</v>
      </c>
      <c r="B205" s="21" t="s">
        <v>408</v>
      </c>
      <c r="C205" s="21" t="s">
        <v>409</v>
      </c>
      <c r="D205" s="21" t="s">
        <v>410</v>
      </c>
      <c r="E205" s="21" t="s">
        <v>411</v>
      </c>
      <c r="F205" s="21" t="s">
        <v>412</v>
      </c>
      <c r="G205" s="21" t="s">
        <v>413</v>
      </c>
    </row>
    <row r="206" spans="1:8" x14ac:dyDescent="0.3">
      <c r="A206" s="3" t="s">
        <v>28</v>
      </c>
      <c r="B206" s="3" t="s">
        <v>414</v>
      </c>
      <c r="C206" s="3" t="s">
        <v>222</v>
      </c>
      <c r="D206" s="3" t="s">
        <v>415</v>
      </c>
      <c r="E206" s="3">
        <v>150000</v>
      </c>
      <c r="F206" s="3" t="s">
        <v>416</v>
      </c>
      <c r="G206" s="3" t="s">
        <v>417</v>
      </c>
    </row>
    <row r="207" spans="1:8" x14ac:dyDescent="0.3">
      <c r="A207" s="3" t="s">
        <v>16</v>
      </c>
      <c r="B207" s="3" t="s">
        <v>418</v>
      </c>
      <c r="C207" s="3" t="s">
        <v>19</v>
      </c>
      <c r="D207" s="3" t="s">
        <v>419</v>
      </c>
      <c r="E207" s="3">
        <v>200000</v>
      </c>
      <c r="F207" s="3" t="s">
        <v>420</v>
      </c>
      <c r="G207" s="3" t="s">
        <v>421</v>
      </c>
    </row>
    <row r="208" spans="1:8" x14ac:dyDescent="0.3">
      <c r="A208" s="3" t="s">
        <v>30</v>
      </c>
      <c r="B208" s="3" t="s">
        <v>422</v>
      </c>
      <c r="C208" s="3" t="s">
        <v>278</v>
      </c>
      <c r="D208" s="3" t="s">
        <v>423</v>
      </c>
      <c r="E208" s="3">
        <v>250000</v>
      </c>
      <c r="F208" s="3" t="s">
        <v>424</v>
      </c>
      <c r="G208" s="3" t="s">
        <v>425</v>
      </c>
    </row>
    <row r="209" spans="1:7" x14ac:dyDescent="0.3">
      <c r="A209" s="3" t="s">
        <v>34</v>
      </c>
      <c r="B209" s="3" t="s">
        <v>426</v>
      </c>
      <c r="C209" s="3" t="s">
        <v>405</v>
      </c>
      <c r="D209" s="3" t="s">
        <v>427</v>
      </c>
      <c r="E209" s="3">
        <v>180000</v>
      </c>
      <c r="F209" s="3" t="s">
        <v>428</v>
      </c>
      <c r="G209" s="3" t="s">
        <v>429</v>
      </c>
    </row>
  </sheetData>
  <pageMargins left="0.7" right="0.7" top="0.75" bottom="0.75" header="0.3" footer="0.3"/>
  <pageSetup orientation="portrait" r:id="rId2"/>
  <drawing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CFA7D0-24A9-493D-A269-7B2282E040F2}">
  <dimension ref="A1:U201"/>
  <sheetViews>
    <sheetView showGridLines="0" topLeftCell="J45" workbookViewId="0">
      <selection activeCell="U46" sqref="U46"/>
    </sheetView>
  </sheetViews>
  <sheetFormatPr defaultRowHeight="14.4" x14ac:dyDescent="0.3"/>
  <cols>
    <col min="1" max="1" width="15.77734375" bestFit="1" customWidth="1"/>
    <col min="2" max="2" width="8.33203125" bestFit="1" customWidth="1"/>
    <col min="3" max="3" width="13.77734375" bestFit="1" customWidth="1"/>
    <col min="4" max="4" width="9.44140625" bestFit="1" customWidth="1"/>
    <col min="5" max="5" width="14.21875" bestFit="1" customWidth="1"/>
    <col min="6" max="6" width="16.44140625" bestFit="1" customWidth="1"/>
    <col min="7" max="7" width="9.6640625" bestFit="1" customWidth="1"/>
    <col min="10" max="10" width="9.109375" bestFit="1" customWidth="1"/>
    <col min="11" max="11" width="10.33203125" bestFit="1" customWidth="1"/>
    <col min="12" max="12" width="11.77734375" bestFit="1" customWidth="1"/>
    <col min="13" max="13" width="6.88671875" bestFit="1" customWidth="1"/>
    <col min="14" max="14" width="8.109375" bestFit="1" customWidth="1"/>
    <col min="15" max="15" width="10.77734375" bestFit="1" customWidth="1"/>
  </cols>
  <sheetData>
    <row r="1" spans="1:18" x14ac:dyDescent="0.3">
      <c r="A1" s="12" t="s">
        <v>384</v>
      </c>
      <c r="B1" s="12" t="s">
        <v>1</v>
      </c>
      <c r="C1" s="12" t="s">
        <v>385</v>
      </c>
      <c r="D1" s="12" t="s">
        <v>386</v>
      </c>
      <c r="E1" s="12" t="s">
        <v>387</v>
      </c>
      <c r="F1" s="12" t="s">
        <v>388</v>
      </c>
      <c r="G1" s="12" t="s">
        <v>389</v>
      </c>
      <c r="H1" s="19" t="s">
        <v>469</v>
      </c>
    </row>
    <row r="2" spans="1:18" x14ac:dyDescent="0.3">
      <c r="A2" t="s">
        <v>131</v>
      </c>
      <c r="B2" t="s">
        <v>38</v>
      </c>
      <c r="C2">
        <v>1440</v>
      </c>
      <c r="D2">
        <v>65</v>
      </c>
      <c r="E2">
        <v>126524</v>
      </c>
      <c r="F2">
        <v>4.34</v>
      </c>
      <c r="G2">
        <v>49772</v>
      </c>
      <c r="H2">
        <v>1375</v>
      </c>
    </row>
    <row r="3" spans="1:18" x14ac:dyDescent="0.3">
      <c r="A3" t="s">
        <v>213</v>
      </c>
      <c r="B3" t="s">
        <v>13</v>
      </c>
      <c r="C3">
        <v>1004</v>
      </c>
      <c r="D3">
        <v>128</v>
      </c>
      <c r="E3">
        <v>488901</v>
      </c>
      <c r="F3">
        <v>8.09</v>
      </c>
      <c r="G3">
        <v>49558</v>
      </c>
      <c r="H3">
        <v>876</v>
      </c>
    </row>
    <row r="4" spans="1:18" x14ac:dyDescent="0.3">
      <c r="A4" t="s">
        <v>252</v>
      </c>
      <c r="B4" t="s">
        <v>18</v>
      </c>
      <c r="C4">
        <v>837</v>
      </c>
      <c r="D4">
        <v>430</v>
      </c>
      <c r="E4">
        <v>364820</v>
      </c>
      <c r="F4">
        <v>4</v>
      </c>
      <c r="G4">
        <v>49400</v>
      </c>
      <c r="H4">
        <v>407</v>
      </c>
      <c r="J4" s="5" t="s">
        <v>479</v>
      </c>
      <c r="K4" s="5" t="s">
        <v>478</v>
      </c>
    </row>
    <row r="5" spans="1:18" x14ac:dyDescent="0.3">
      <c r="A5" t="s">
        <v>325</v>
      </c>
      <c r="B5" t="s">
        <v>13</v>
      </c>
      <c r="C5">
        <v>460</v>
      </c>
      <c r="D5">
        <v>141</v>
      </c>
      <c r="E5">
        <v>320650</v>
      </c>
      <c r="F5">
        <v>4.04</v>
      </c>
      <c r="G5">
        <v>49372</v>
      </c>
      <c r="H5">
        <v>319</v>
      </c>
      <c r="J5" s="5" t="s">
        <v>433</v>
      </c>
      <c r="K5" t="s">
        <v>18</v>
      </c>
      <c r="L5" t="s">
        <v>38</v>
      </c>
      <c r="M5" t="s">
        <v>23</v>
      </c>
      <c r="N5" t="s">
        <v>13</v>
      </c>
      <c r="O5" t="s">
        <v>434</v>
      </c>
    </row>
    <row r="6" spans="1:18" x14ac:dyDescent="0.3">
      <c r="A6" t="s">
        <v>325</v>
      </c>
      <c r="B6" t="s">
        <v>38</v>
      </c>
      <c r="C6">
        <v>645</v>
      </c>
      <c r="D6">
        <v>293</v>
      </c>
      <c r="E6">
        <v>437968</v>
      </c>
      <c r="F6">
        <v>7.83</v>
      </c>
      <c r="G6">
        <v>49303</v>
      </c>
      <c r="H6">
        <v>352</v>
      </c>
      <c r="J6" s="6" t="s">
        <v>376</v>
      </c>
      <c r="K6">
        <v>64</v>
      </c>
      <c r="L6">
        <v>-219</v>
      </c>
      <c r="M6">
        <v>1357</v>
      </c>
      <c r="N6">
        <v>91</v>
      </c>
      <c r="O6">
        <v>1293</v>
      </c>
    </row>
    <row r="7" spans="1:18" x14ac:dyDescent="0.3">
      <c r="A7" t="s">
        <v>128</v>
      </c>
      <c r="B7" t="s">
        <v>38</v>
      </c>
      <c r="C7">
        <v>490</v>
      </c>
      <c r="D7">
        <v>29</v>
      </c>
      <c r="E7">
        <v>364810</v>
      </c>
      <c r="F7">
        <v>1.53</v>
      </c>
      <c r="G7">
        <v>49077</v>
      </c>
      <c r="H7">
        <v>461</v>
      </c>
      <c r="J7" s="6" t="s">
        <v>363</v>
      </c>
      <c r="K7">
        <v>1045</v>
      </c>
      <c r="L7">
        <v>1247</v>
      </c>
      <c r="M7">
        <v>197</v>
      </c>
      <c r="N7">
        <v>333</v>
      </c>
      <c r="O7">
        <v>2822</v>
      </c>
    </row>
    <row r="8" spans="1:18" x14ac:dyDescent="0.3">
      <c r="A8" t="s">
        <v>329</v>
      </c>
      <c r="B8" t="s">
        <v>18</v>
      </c>
      <c r="C8">
        <v>405</v>
      </c>
      <c r="D8">
        <v>66</v>
      </c>
      <c r="E8">
        <v>418696</v>
      </c>
      <c r="F8">
        <v>5.59</v>
      </c>
      <c r="G8">
        <v>48419</v>
      </c>
      <c r="H8">
        <v>339</v>
      </c>
      <c r="J8" s="6" t="s">
        <v>398</v>
      </c>
      <c r="K8">
        <v>1706</v>
      </c>
      <c r="L8">
        <v>1625</v>
      </c>
      <c r="M8">
        <v>1173</v>
      </c>
      <c r="N8">
        <v>291</v>
      </c>
      <c r="O8">
        <v>4795</v>
      </c>
    </row>
    <row r="9" spans="1:18" x14ac:dyDescent="0.3">
      <c r="A9" t="s">
        <v>402</v>
      </c>
      <c r="B9" t="s">
        <v>23</v>
      </c>
      <c r="C9">
        <v>927</v>
      </c>
      <c r="D9">
        <v>358</v>
      </c>
      <c r="E9">
        <v>177554</v>
      </c>
      <c r="F9">
        <v>6.95</v>
      </c>
      <c r="G9">
        <v>48270</v>
      </c>
      <c r="H9">
        <v>569</v>
      </c>
      <c r="J9" s="6" t="s">
        <v>402</v>
      </c>
      <c r="K9">
        <v>748</v>
      </c>
      <c r="L9">
        <v>1080</v>
      </c>
      <c r="M9">
        <v>569</v>
      </c>
      <c r="N9">
        <v>-203</v>
      </c>
      <c r="O9">
        <v>2194</v>
      </c>
    </row>
    <row r="10" spans="1:18" x14ac:dyDescent="0.3">
      <c r="A10" t="s">
        <v>397</v>
      </c>
      <c r="B10" t="s">
        <v>38</v>
      </c>
      <c r="C10">
        <v>1075</v>
      </c>
      <c r="D10">
        <v>173</v>
      </c>
      <c r="E10">
        <v>51395</v>
      </c>
      <c r="F10">
        <v>4.66</v>
      </c>
      <c r="G10">
        <v>47812</v>
      </c>
      <c r="H10">
        <v>902</v>
      </c>
      <c r="J10" s="6" t="s">
        <v>355</v>
      </c>
      <c r="K10">
        <v>-119</v>
      </c>
      <c r="L10">
        <v>1315</v>
      </c>
      <c r="M10">
        <v>899</v>
      </c>
      <c r="N10">
        <v>315</v>
      </c>
      <c r="O10">
        <v>2410</v>
      </c>
    </row>
    <row r="11" spans="1:18" x14ac:dyDescent="0.3">
      <c r="A11" t="s">
        <v>304</v>
      </c>
      <c r="B11" t="s">
        <v>18</v>
      </c>
      <c r="C11">
        <v>1307</v>
      </c>
      <c r="D11">
        <v>278</v>
      </c>
      <c r="E11">
        <v>98596</v>
      </c>
      <c r="F11">
        <v>2.4900000000000002</v>
      </c>
      <c r="G11">
        <v>47603</v>
      </c>
      <c r="H11">
        <v>1029</v>
      </c>
      <c r="J11" s="6" t="s">
        <v>351</v>
      </c>
      <c r="K11">
        <v>1002</v>
      </c>
      <c r="L11">
        <v>1047</v>
      </c>
      <c r="M11">
        <v>415</v>
      </c>
      <c r="N11">
        <v>1090</v>
      </c>
      <c r="O11">
        <v>3554</v>
      </c>
    </row>
    <row r="12" spans="1:18" x14ac:dyDescent="0.3">
      <c r="A12" t="s">
        <v>135</v>
      </c>
      <c r="B12" t="s">
        <v>18</v>
      </c>
      <c r="C12">
        <v>1155</v>
      </c>
      <c r="D12">
        <v>425</v>
      </c>
      <c r="E12">
        <v>93347</v>
      </c>
      <c r="F12">
        <v>2.02</v>
      </c>
      <c r="G12">
        <v>47502</v>
      </c>
      <c r="H12">
        <v>730</v>
      </c>
      <c r="J12" s="6" t="s">
        <v>333</v>
      </c>
      <c r="K12">
        <v>540</v>
      </c>
      <c r="L12">
        <v>1397</v>
      </c>
      <c r="M12">
        <v>1603</v>
      </c>
      <c r="N12">
        <v>1044</v>
      </c>
      <c r="O12">
        <v>4584</v>
      </c>
    </row>
    <row r="13" spans="1:18" x14ac:dyDescent="0.3">
      <c r="A13" t="s">
        <v>392</v>
      </c>
      <c r="B13" t="s">
        <v>18</v>
      </c>
      <c r="C13">
        <v>443</v>
      </c>
      <c r="D13">
        <v>345</v>
      </c>
      <c r="E13">
        <v>474162</v>
      </c>
      <c r="F13">
        <v>9.1999999999999993</v>
      </c>
      <c r="G13">
        <v>47462</v>
      </c>
      <c r="H13">
        <v>98</v>
      </c>
      <c r="J13" s="6" t="s">
        <v>329</v>
      </c>
      <c r="K13">
        <v>339</v>
      </c>
      <c r="L13">
        <v>1881</v>
      </c>
      <c r="M13">
        <v>1510</v>
      </c>
      <c r="N13">
        <v>864</v>
      </c>
      <c r="O13">
        <v>4594</v>
      </c>
    </row>
    <row r="14" spans="1:18" x14ac:dyDescent="0.3">
      <c r="A14" t="s">
        <v>248</v>
      </c>
      <c r="B14" t="s">
        <v>38</v>
      </c>
      <c r="C14">
        <v>1528</v>
      </c>
      <c r="D14">
        <v>203</v>
      </c>
      <c r="E14">
        <v>489188</v>
      </c>
      <c r="F14">
        <v>6.23</v>
      </c>
      <c r="G14">
        <v>47101</v>
      </c>
      <c r="H14">
        <v>1325</v>
      </c>
      <c r="J14" s="6" t="s">
        <v>325</v>
      </c>
      <c r="K14">
        <v>-197</v>
      </c>
      <c r="L14">
        <v>352</v>
      </c>
      <c r="M14">
        <v>328</v>
      </c>
      <c r="N14">
        <v>319</v>
      </c>
      <c r="O14">
        <v>802</v>
      </c>
      <c r="R14" s="4" t="s">
        <v>480</v>
      </c>
    </row>
    <row r="15" spans="1:18" x14ac:dyDescent="0.3">
      <c r="A15" t="s">
        <v>206</v>
      </c>
      <c r="B15" t="s">
        <v>18</v>
      </c>
      <c r="C15">
        <v>1753</v>
      </c>
      <c r="D15">
        <v>371</v>
      </c>
      <c r="E15">
        <v>169496</v>
      </c>
      <c r="F15">
        <v>8.11</v>
      </c>
      <c r="G15">
        <v>46670</v>
      </c>
      <c r="H15">
        <v>1382</v>
      </c>
      <c r="J15" s="6" t="s">
        <v>319</v>
      </c>
      <c r="K15">
        <v>620</v>
      </c>
      <c r="L15">
        <v>903</v>
      </c>
      <c r="M15">
        <v>1188</v>
      </c>
      <c r="N15">
        <v>846</v>
      </c>
      <c r="O15">
        <v>3557</v>
      </c>
    </row>
    <row r="16" spans="1:18" x14ac:dyDescent="0.3">
      <c r="A16" t="s">
        <v>72</v>
      </c>
      <c r="B16" t="s">
        <v>13</v>
      </c>
      <c r="C16">
        <v>1814</v>
      </c>
      <c r="D16">
        <v>157</v>
      </c>
      <c r="E16">
        <v>305827</v>
      </c>
      <c r="F16">
        <v>1.99</v>
      </c>
      <c r="G16">
        <v>46643</v>
      </c>
      <c r="H16">
        <v>1657</v>
      </c>
      <c r="J16" s="6" t="s">
        <v>304</v>
      </c>
      <c r="K16">
        <v>1029</v>
      </c>
      <c r="L16">
        <v>167</v>
      </c>
      <c r="M16">
        <v>1007</v>
      </c>
      <c r="N16">
        <v>209</v>
      </c>
      <c r="O16">
        <v>2412</v>
      </c>
    </row>
    <row r="17" spans="1:15" x14ac:dyDescent="0.3">
      <c r="A17" t="s">
        <v>281</v>
      </c>
      <c r="B17" t="s">
        <v>13</v>
      </c>
      <c r="C17">
        <v>736</v>
      </c>
      <c r="D17">
        <v>163</v>
      </c>
      <c r="E17">
        <v>451894</v>
      </c>
      <c r="F17">
        <v>5.43</v>
      </c>
      <c r="G17">
        <v>46625</v>
      </c>
      <c r="H17">
        <v>573</v>
      </c>
      <c r="J17" s="6" t="s">
        <v>395</v>
      </c>
      <c r="K17">
        <v>1662</v>
      </c>
      <c r="L17">
        <v>1872</v>
      </c>
      <c r="M17">
        <v>107</v>
      </c>
      <c r="N17">
        <v>118</v>
      </c>
      <c r="O17">
        <v>3759</v>
      </c>
    </row>
    <row r="18" spans="1:15" x14ac:dyDescent="0.3">
      <c r="A18" t="s">
        <v>400</v>
      </c>
      <c r="B18" t="s">
        <v>18</v>
      </c>
      <c r="C18">
        <v>651</v>
      </c>
      <c r="D18">
        <v>353</v>
      </c>
      <c r="E18">
        <v>224699</v>
      </c>
      <c r="F18">
        <v>5.61</v>
      </c>
      <c r="G18">
        <v>45708</v>
      </c>
      <c r="H18">
        <v>298</v>
      </c>
      <c r="J18" s="6" t="s">
        <v>390</v>
      </c>
      <c r="K18">
        <v>309</v>
      </c>
      <c r="L18">
        <v>1672</v>
      </c>
      <c r="M18">
        <v>547</v>
      </c>
      <c r="N18">
        <v>514</v>
      </c>
      <c r="O18">
        <v>3042</v>
      </c>
    </row>
    <row r="19" spans="1:15" x14ac:dyDescent="0.3">
      <c r="A19" t="s">
        <v>401</v>
      </c>
      <c r="B19" t="s">
        <v>23</v>
      </c>
      <c r="C19">
        <v>1040</v>
      </c>
      <c r="D19">
        <v>149</v>
      </c>
      <c r="E19">
        <v>124404</v>
      </c>
      <c r="F19">
        <v>5.23</v>
      </c>
      <c r="G19">
        <v>45380</v>
      </c>
      <c r="H19">
        <v>891</v>
      </c>
      <c r="J19" s="6" t="s">
        <v>285</v>
      </c>
      <c r="K19">
        <v>1428</v>
      </c>
      <c r="L19">
        <v>1572</v>
      </c>
      <c r="M19">
        <v>260</v>
      </c>
      <c r="N19">
        <v>1100</v>
      </c>
      <c r="O19">
        <v>4360</v>
      </c>
    </row>
    <row r="20" spans="1:15" x14ac:dyDescent="0.3">
      <c r="A20" t="s">
        <v>159</v>
      </c>
      <c r="B20" t="s">
        <v>13</v>
      </c>
      <c r="C20">
        <v>1707</v>
      </c>
      <c r="D20">
        <v>223</v>
      </c>
      <c r="E20">
        <v>256910</v>
      </c>
      <c r="F20">
        <v>5.41</v>
      </c>
      <c r="G20">
        <v>44321</v>
      </c>
      <c r="H20">
        <v>1484</v>
      </c>
      <c r="J20" s="6" t="s">
        <v>281</v>
      </c>
      <c r="K20">
        <v>1373</v>
      </c>
      <c r="L20">
        <v>1119</v>
      </c>
      <c r="M20">
        <v>1727</v>
      </c>
      <c r="N20">
        <v>573</v>
      </c>
      <c r="O20">
        <v>4792</v>
      </c>
    </row>
    <row r="21" spans="1:15" x14ac:dyDescent="0.3">
      <c r="A21" t="s">
        <v>210</v>
      </c>
      <c r="B21" t="s">
        <v>38</v>
      </c>
      <c r="C21">
        <v>1138</v>
      </c>
      <c r="D21">
        <v>173</v>
      </c>
      <c r="E21">
        <v>453243</v>
      </c>
      <c r="F21">
        <v>2.86</v>
      </c>
      <c r="G21">
        <v>44097</v>
      </c>
      <c r="H21">
        <v>965</v>
      </c>
      <c r="J21" s="6" t="s">
        <v>275</v>
      </c>
      <c r="K21">
        <v>912</v>
      </c>
      <c r="L21">
        <v>1723</v>
      </c>
      <c r="M21">
        <v>1202</v>
      </c>
      <c r="N21">
        <v>1444</v>
      </c>
      <c r="O21">
        <v>5281</v>
      </c>
    </row>
    <row r="22" spans="1:15" x14ac:dyDescent="0.3">
      <c r="A22" t="s">
        <v>93</v>
      </c>
      <c r="B22" t="s">
        <v>13</v>
      </c>
      <c r="C22">
        <v>1411</v>
      </c>
      <c r="D22">
        <v>186</v>
      </c>
      <c r="E22">
        <v>461669</v>
      </c>
      <c r="F22">
        <v>3.72</v>
      </c>
      <c r="G22">
        <v>43999</v>
      </c>
      <c r="H22">
        <v>1225</v>
      </c>
      <c r="J22" s="6" t="s">
        <v>403</v>
      </c>
      <c r="K22">
        <v>908</v>
      </c>
      <c r="L22">
        <v>212</v>
      </c>
      <c r="M22">
        <v>1350</v>
      </c>
      <c r="N22">
        <v>1242</v>
      </c>
      <c r="O22">
        <v>3712</v>
      </c>
    </row>
    <row r="23" spans="1:15" x14ac:dyDescent="0.3">
      <c r="A23" t="s">
        <v>395</v>
      </c>
      <c r="B23" t="s">
        <v>18</v>
      </c>
      <c r="C23">
        <v>1929</v>
      </c>
      <c r="D23">
        <v>267</v>
      </c>
      <c r="E23">
        <v>379363</v>
      </c>
      <c r="F23">
        <v>1.75</v>
      </c>
      <c r="G23">
        <v>43836</v>
      </c>
      <c r="H23">
        <v>1662</v>
      </c>
      <c r="J23" s="6" t="s">
        <v>271</v>
      </c>
      <c r="K23">
        <v>1283</v>
      </c>
      <c r="L23">
        <v>517</v>
      </c>
      <c r="M23">
        <v>186</v>
      </c>
      <c r="N23">
        <v>994</v>
      </c>
      <c r="O23">
        <v>2980</v>
      </c>
    </row>
    <row r="24" spans="1:15" x14ac:dyDescent="0.3">
      <c r="A24" t="s">
        <v>222</v>
      </c>
      <c r="B24" t="s">
        <v>18</v>
      </c>
      <c r="C24">
        <v>170</v>
      </c>
      <c r="D24">
        <v>334</v>
      </c>
      <c r="E24">
        <v>334626</v>
      </c>
      <c r="F24">
        <v>6.44</v>
      </c>
      <c r="G24">
        <v>43420</v>
      </c>
      <c r="H24">
        <v>-164</v>
      </c>
      <c r="J24" s="6" t="s">
        <v>397</v>
      </c>
      <c r="K24">
        <v>-106</v>
      </c>
      <c r="L24">
        <v>902</v>
      </c>
      <c r="M24">
        <v>1150</v>
      </c>
      <c r="N24">
        <v>349</v>
      </c>
      <c r="O24">
        <v>2295</v>
      </c>
    </row>
    <row r="25" spans="1:15" x14ac:dyDescent="0.3">
      <c r="A25" t="s">
        <v>401</v>
      </c>
      <c r="B25" t="s">
        <v>38</v>
      </c>
      <c r="C25">
        <v>1748</v>
      </c>
      <c r="D25">
        <v>176</v>
      </c>
      <c r="E25">
        <v>383681</v>
      </c>
      <c r="F25">
        <v>9.24</v>
      </c>
      <c r="G25">
        <v>43122</v>
      </c>
      <c r="H25">
        <v>1572</v>
      </c>
      <c r="J25" s="6" t="s">
        <v>252</v>
      </c>
      <c r="K25">
        <v>407</v>
      </c>
      <c r="L25">
        <v>1656</v>
      </c>
      <c r="M25">
        <v>269</v>
      </c>
      <c r="N25">
        <v>-337</v>
      </c>
      <c r="O25">
        <v>1995</v>
      </c>
    </row>
    <row r="26" spans="1:15" x14ac:dyDescent="0.3">
      <c r="A26" t="s">
        <v>304</v>
      </c>
      <c r="B26" t="s">
        <v>23</v>
      </c>
      <c r="C26">
        <v>1432</v>
      </c>
      <c r="D26">
        <v>425</v>
      </c>
      <c r="E26">
        <v>29589</v>
      </c>
      <c r="F26">
        <v>4.5</v>
      </c>
      <c r="G26">
        <v>42964</v>
      </c>
      <c r="H26">
        <v>1007</v>
      </c>
      <c r="J26" s="6" t="s">
        <v>248</v>
      </c>
      <c r="K26">
        <v>1334</v>
      </c>
      <c r="L26">
        <v>1325</v>
      </c>
      <c r="M26">
        <v>37</v>
      </c>
      <c r="N26">
        <v>1032</v>
      </c>
      <c r="O26">
        <v>3728</v>
      </c>
    </row>
    <row r="27" spans="1:15" x14ac:dyDescent="0.3">
      <c r="A27" t="s">
        <v>275</v>
      </c>
      <c r="B27" t="s">
        <v>23</v>
      </c>
      <c r="C27">
        <v>1587</v>
      </c>
      <c r="D27">
        <v>385</v>
      </c>
      <c r="E27">
        <v>126582</v>
      </c>
      <c r="F27">
        <v>6.99</v>
      </c>
      <c r="G27">
        <v>42832</v>
      </c>
      <c r="H27">
        <v>1202</v>
      </c>
      <c r="J27" s="6" t="s">
        <v>400</v>
      </c>
      <c r="K27">
        <v>298</v>
      </c>
      <c r="L27">
        <v>1722</v>
      </c>
      <c r="M27">
        <v>-144</v>
      </c>
      <c r="N27">
        <v>901</v>
      </c>
      <c r="O27">
        <v>2777</v>
      </c>
    </row>
    <row r="28" spans="1:15" x14ac:dyDescent="0.3">
      <c r="A28" t="s">
        <v>159</v>
      </c>
      <c r="B28" t="s">
        <v>18</v>
      </c>
      <c r="C28">
        <v>508</v>
      </c>
      <c r="D28">
        <v>69</v>
      </c>
      <c r="E28">
        <v>23492</v>
      </c>
      <c r="F28">
        <v>3.16</v>
      </c>
      <c r="G28">
        <v>42824</v>
      </c>
      <c r="H28">
        <v>439</v>
      </c>
      <c r="J28" s="6" t="s">
        <v>406</v>
      </c>
      <c r="K28">
        <v>-175</v>
      </c>
      <c r="L28">
        <v>-160</v>
      </c>
      <c r="M28">
        <v>53</v>
      </c>
      <c r="N28">
        <v>145</v>
      </c>
      <c r="O28">
        <v>-137</v>
      </c>
    </row>
    <row r="29" spans="1:15" x14ac:dyDescent="0.3">
      <c r="A29" t="s">
        <v>376</v>
      </c>
      <c r="B29" t="s">
        <v>18</v>
      </c>
      <c r="C29">
        <v>505</v>
      </c>
      <c r="D29">
        <v>441</v>
      </c>
      <c r="E29">
        <v>220020</v>
      </c>
      <c r="F29">
        <v>4.4800000000000004</v>
      </c>
      <c r="G29">
        <v>42307</v>
      </c>
      <c r="H29">
        <v>64</v>
      </c>
      <c r="J29" s="6" t="s">
        <v>396</v>
      </c>
      <c r="K29">
        <v>285</v>
      </c>
      <c r="L29">
        <v>1224</v>
      </c>
      <c r="M29">
        <v>-20</v>
      </c>
      <c r="N29">
        <v>367</v>
      </c>
      <c r="O29">
        <v>1856</v>
      </c>
    </row>
    <row r="30" spans="1:15" x14ac:dyDescent="0.3">
      <c r="A30" t="s">
        <v>395</v>
      </c>
      <c r="B30" t="s">
        <v>38</v>
      </c>
      <c r="C30">
        <v>1939</v>
      </c>
      <c r="D30">
        <v>67</v>
      </c>
      <c r="E30">
        <v>187183</v>
      </c>
      <c r="F30">
        <v>6.25</v>
      </c>
      <c r="G30">
        <v>41215</v>
      </c>
      <c r="H30">
        <v>1872</v>
      </c>
      <c r="J30" s="6" t="s">
        <v>222</v>
      </c>
      <c r="K30">
        <v>-164</v>
      </c>
      <c r="L30">
        <v>1845</v>
      </c>
      <c r="M30">
        <v>429</v>
      </c>
      <c r="N30">
        <v>160</v>
      </c>
      <c r="O30">
        <v>2270</v>
      </c>
    </row>
    <row r="31" spans="1:15" x14ac:dyDescent="0.3">
      <c r="A31" t="s">
        <v>398</v>
      </c>
      <c r="B31" t="s">
        <v>13</v>
      </c>
      <c r="C31">
        <v>452</v>
      </c>
      <c r="D31">
        <v>161</v>
      </c>
      <c r="E31">
        <v>221274</v>
      </c>
      <c r="F31">
        <v>2.65</v>
      </c>
      <c r="G31">
        <v>40888</v>
      </c>
      <c r="H31">
        <v>291</v>
      </c>
      <c r="J31" s="6" t="s">
        <v>392</v>
      </c>
      <c r="K31">
        <v>98</v>
      </c>
      <c r="L31">
        <v>377</v>
      </c>
      <c r="M31">
        <v>1125</v>
      </c>
      <c r="N31">
        <v>-32</v>
      </c>
      <c r="O31">
        <v>1568</v>
      </c>
    </row>
    <row r="32" spans="1:15" x14ac:dyDescent="0.3">
      <c r="A32" t="s">
        <v>400</v>
      </c>
      <c r="B32" t="s">
        <v>13</v>
      </c>
      <c r="C32">
        <v>1331</v>
      </c>
      <c r="D32">
        <v>430</v>
      </c>
      <c r="E32">
        <v>14437</v>
      </c>
      <c r="F32">
        <v>3.29</v>
      </c>
      <c r="G32">
        <v>40868</v>
      </c>
      <c r="H32">
        <v>901</v>
      </c>
      <c r="J32" s="6" t="s">
        <v>213</v>
      </c>
      <c r="K32">
        <v>1377</v>
      </c>
      <c r="L32">
        <v>1432</v>
      </c>
      <c r="M32">
        <v>1359</v>
      </c>
      <c r="N32">
        <v>876</v>
      </c>
      <c r="O32">
        <v>5044</v>
      </c>
    </row>
    <row r="33" spans="1:21" x14ac:dyDescent="0.3">
      <c r="A33" t="s">
        <v>285</v>
      </c>
      <c r="B33" t="s">
        <v>18</v>
      </c>
      <c r="C33">
        <v>1842</v>
      </c>
      <c r="D33">
        <v>414</v>
      </c>
      <c r="E33">
        <v>307524</v>
      </c>
      <c r="F33">
        <v>1.76</v>
      </c>
      <c r="G33">
        <v>40478</v>
      </c>
      <c r="H33">
        <v>1428</v>
      </c>
      <c r="J33" s="6" t="s">
        <v>210</v>
      </c>
      <c r="K33">
        <v>1590</v>
      </c>
      <c r="L33">
        <v>965</v>
      </c>
      <c r="M33">
        <v>-37</v>
      </c>
      <c r="N33">
        <v>1175</v>
      </c>
      <c r="O33">
        <v>3693</v>
      </c>
    </row>
    <row r="34" spans="1:21" x14ac:dyDescent="0.3">
      <c r="A34" t="s">
        <v>402</v>
      </c>
      <c r="B34" t="s">
        <v>18</v>
      </c>
      <c r="C34">
        <v>1159</v>
      </c>
      <c r="D34">
        <v>411</v>
      </c>
      <c r="E34">
        <v>135987</v>
      </c>
      <c r="F34">
        <v>8.6999999999999993</v>
      </c>
      <c r="G34">
        <v>40323</v>
      </c>
      <c r="H34">
        <v>748</v>
      </c>
      <c r="J34" s="6" t="s">
        <v>404</v>
      </c>
      <c r="K34">
        <v>1116</v>
      </c>
      <c r="L34">
        <v>680</v>
      </c>
      <c r="M34">
        <v>861</v>
      </c>
      <c r="N34">
        <v>1385</v>
      </c>
      <c r="O34">
        <v>4042</v>
      </c>
    </row>
    <row r="35" spans="1:21" x14ac:dyDescent="0.3">
      <c r="A35" t="s">
        <v>188</v>
      </c>
      <c r="B35" t="s">
        <v>18</v>
      </c>
      <c r="C35">
        <v>513</v>
      </c>
      <c r="D35">
        <v>441</v>
      </c>
      <c r="E35">
        <v>338847</v>
      </c>
      <c r="F35">
        <v>2.68</v>
      </c>
      <c r="G35">
        <v>39997</v>
      </c>
      <c r="H35">
        <v>72</v>
      </c>
      <c r="J35" s="6" t="s">
        <v>206</v>
      </c>
      <c r="K35">
        <v>1382</v>
      </c>
      <c r="L35">
        <v>893</v>
      </c>
      <c r="M35">
        <v>1295</v>
      </c>
      <c r="N35">
        <v>337</v>
      </c>
      <c r="O35">
        <v>3907</v>
      </c>
    </row>
    <row r="36" spans="1:21" x14ac:dyDescent="0.3">
      <c r="A36" t="s">
        <v>399</v>
      </c>
      <c r="B36" t="s">
        <v>13</v>
      </c>
      <c r="C36">
        <v>1495</v>
      </c>
      <c r="D36">
        <v>35</v>
      </c>
      <c r="E36">
        <v>136845</v>
      </c>
      <c r="F36">
        <v>4.4800000000000004</v>
      </c>
      <c r="G36">
        <v>39931</v>
      </c>
      <c r="H36">
        <v>1460</v>
      </c>
      <c r="J36" s="6" t="s">
        <v>188</v>
      </c>
      <c r="K36">
        <v>72</v>
      </c>
      <c r="L36">
        <v>-49</v>
      </c>
      <c r="M36">
        <v>445</v>
      </c>
      <c r="N36">
        <v>60</v>
      </c>
      <c r="O36">
        <v>528</v>
      </c>
    </row>
    <row r="37" spans="1:21" x14ac:dyDescent="0.3">
      <c r="A37" t="s">
        <v>304</v>
      </c>
      <c r="B37" t="s">
        <v>13</v>
      </c>
      <c r="C37">
        <v>623</v>
      </c>
      <c r="D37">
        <v>414</v>
      </c>
      <c r="E37">
        <v>290354</v>
      </c>
      <c r="F37">
        <v>6.49</v>
      </c>
      <c r="G37">
        <v>39923</v>
      </c>
      <c r="H37">
        <v>209</v>
      </c>
      <c r="J37" s="6" t="s">
        <v>178</v>
      </c>
      <c r="K37">
        <v>1058</v>
      </c>
      <c r="L37">
        <v>76</v>
      </c>
      <c r="M37">
        <v>1665</v>
      </c>
      <c r="N37">
        <v>190</v>
      </c>
      <c r="O37">
        <v>2989</v>
      </c>
    </row>
    <row r="38" spans="1:21" x14ac:dyDescent="0.3">
      <c r="A38" t="s">
        <v>105</v>
      </c>
      <c r="B38" t="s">
        <v>23</v>
      </c>
      <c r="C38">
        <v>330</v>
      </c>
      <c r="D38">
        <v>232</v>
      </c>
      <c r="E38">
        <v>88455</v>
      </c>
      <c r="F38">
        <v>2.69</v>
      </c>
      <c r="G38">
        <v>39530</v>
      </c>
      <c r="H38">
        <v>98</v>
      </c>
      <c r="J38" s="6" t="s">
        <v>401</v>
      </c>
      <c r="K38">
        <v>427</v>
      </c>
      <c r="L38">
        <v>1572</v>
      </c>
      <c r="M38">
        <v>891</v>
      </c>
      <c r="N38">
        <v>724</v>
      </c>
      <c r="O38">
        <v>3614</v>
      </c>
    </row>
    <row r="39" spans="1:21" x14ac:dyDescent="0.3">
      <c r="A39" t="s">
        <v>56</v>
      </c>
      <c r="B39" t="s">
        <v>23</v>
      </c>
      <c r="C39">
        <v>1756</v>
      </c>
      <c r="D39">
        <v>261</v>
      </c>
      <c r="E39">
        <v>287574</v>
      </c>
      <c r="F39">
        <v>4.3600000000000003</v>
      </c>
      <c r="G39">
        <v>39272</v>
      </c>
      <c r="H39">
        <v>1495</v>
      </c>
      <c r="J39" s="6" t="s">
        <v>407</v>
      </c>
      <c r="K39">
        <v>1045</v>
      </c>
      <c r="L39">
        <v>603</v>
      </c>
      <c r="M39">
        <v>759</v>
      </c>
      <c r="N39">
        <v>1633</v>
      </c>
      <c r="O39">
        <v>4040</v>
      </c>
    </row>
    <row r="40" spans="1:21" x14ac:dyDescent="0.3">
      <c r="A40" t="s">
        <v>131</v>
      </c>
      <c r="B40" t="s">
        <v>13</v>
      </c>
      <c r="C40">
        <v>1063</v>
      </c>
      <c r="D40">
        <v>47</v>
      </c>
      <c r="E40">
        <v>464239</v>
      </c>
      <c r="F40">
        <v>6.58</v>
      </c>
      <c r="G40">
        <v>39031</v>
      </c>
      <c r="H40">
        <v>1016</v>
      </c>
      <c r="J40" s="6" t="s">
        <v>159</v>
      </c>
      <c r="K40">
        <v>439</v>
      </c>
      <c r="L40">
        <v>262</v>
      </c>
      <c r="M40">
        <v>636</v>
      </c>
      <c r="N40">
        <v>1484</v>
      </c>
      <c r="O40">
        <v>2821</v>
      </c>
    </row>
    <row r="41" spans="1:21" x14ac:dyDescent="0.3">
      <c r="A41" t="s">
        <v>393</v>
      </c>
      <c r="B41" t="s">
        <v>13</v>
      </c>
      <c r="C41">
        <v>1218</v>
      </c>
      <c r="D41">
        <v>212</v>
      </c>
      <c r="E41">
        <v>63177</v>
      </c>
      <c r="F41">
        <v>8.1300000000000008</v>
      </c>
      <c r="G41">
        <v>38883</v>
      </c>
      <c r="H41">
        <v>1006</v>
      </c>
      <c r="J41" s="6" t="s">
        <v>391</v>
      </c>
      <c r="K41">
        <v>961</v>
      </c>
      <c r="L41">
        <v>159</v>
      </c>
      <c r="M41">
        <v>1316</v>
      </c>
      <c r="N41">
        <v>317</v>
      </c>
      <c r="O41">
        <v>2753</v>
      </c>
    </row>
    <row r="42" spans="1:21" x14ac:dyDescent="0.3">
      <c r="A42" t="s">
        <v>390</v>
      </c>
      <c r="B42" t="s">
        <v>18</v>
      </c>
      <c r="C42">
        <v>350</v>
      </c>
      <c r="D42">
        <v>41</v>
      </c>
      <c r="E42">
        <v>251694</v>
      </c>
      <c r="F42">
        <v>1.91</v>
      </c>
      <c r="G42">
        <v>38610</v>
      </c>
      <c r="H42">
        <v>309</v>
      </c>
      <c r="J42" s="6" t="s">
        <v>393</v>
      </c>
      <c r="K42">
        <v>-19</v>
      </c>
      <c r="L42">
        <v>666</v>
      </c>
      <c r="M42">
        <v>1680</v>
      </c>
      <c r="N42">
        <v>1006</v>
      </c>
      <c r="O42">
        <v>3333</v>
      </c>
    </row>
    <row r="43" spans="1:21" x14ac:dyDescent="0.3">
      <c r="A43" t="s">
        <v>397</v>
      </c>
      <c r="B43" t="s">
        <v>18</v>
      </c>
      <c r="C43">
        <v>171</v>
      </c>
      <c r="D43">
        <v>277</v>
      </c>
      <c r="E43">
        <v>309483</v>
      </c>
      <c r="F43">
        <v>8.6999999999999993</v>
      </c>
      <c r="G43">
        <v>38452</v>
      </c>
      <c r="H43">
        <v>-106</v>
      </c>
      <c r="J43" s="6" t="s">
        <v>135</v>
      </c>
      <c r="K43">
        <v>730</v>
      </c>
      <c r="L43">
        <v>684</v>
      </c>
      <c r="M43">
        <v>911</v>
      </c>
      <c r="N43">
        <v>1589</v>
      </c>
      <c r="O43">
        <v>3914</v>
      </c>
    </row>
    <row r="44" spans="1:21" x14ac:dyDescent="0.3">
      <c r="A44" t="s">
        <v>248</v>
      </c>
      <c r="B44" t="s">
        <v>18</v>
      </c>
      <c r="C44">
        <v>1534</v>
      </c>
      <c r="D44">
        <v>200</v>
      </c>
      <c r="E44">
        <v>307612</v>
      </c>
      <c r="F44">
        <v>6.01</v>
      </c>
      <c r="G44">
        <v>37903</v>
      </c>
      <c r="H44">
        <v>1334</v>
      </c>
      <c r="J44" s="6" t="s">
        <v>131</v>
      </c>
      <c r="K44">
        <v>1707</v>
      </c>
      <c r="L44">
        <v>1375</v>
      </c>
      <c r="M44">
        <v>708</v>
      </c>
      <c r="N44">
        <v>1016</v>
      </c>
      <c r="O44">
        <v>4806</v>
      </c>
    </row>
    <row r="45" spans="1:21" x14ac:dyDescent="0.3">
      <c r="A45" t="s">
        <v>105</v>
      </c>
      <c r="B45" t="s">
        <v>13</v>
      </c>
      <c r="C45">
        <v>1293</v>
      </c>
      <c r="D45">
        <v>408</v>
      </c>
      <c r="E45">
        <v>62535</v>
      </c>
      <c r="F45">
        <v>8.9</v>
      </c>
      <c r="G45">
        <v>37876</v>
      </c>
      <c r="H45">
        <v>885</v>
      </c>
      <c r="J45" s="6" t="s">
        <v>128</v>
      </c>
      <c r="K45">
        <v>474</v>
      </c>
      <c r="L45">
        <v>461</v>
      </c>
      <c r="M45">
        <v>292</v>
      </c>
      <c r="N45">
        <v>389</v>
      </c>
      <c r="O45">
        <v>1616</v>
      </c>
      <c r="U45" s="4"/>
    </row>
    <row r="46" spans="1:21" x14ac:dyDescent="0.3">
      <c r="A46" t="s">
        <v>363</v>
      </c>
      <c r="B46" t="s">
        <v>38</v>
      </c>
      <c r="C46">
        <v>1429</v>
      </c>
      <c r="D46">
        <v>182</v>
      </c>
      <c r="E46">
        <v>101332</v>
      </c>
      <c r="F46">
        <v>7.16</v>
      </c>
      <c r="G46">
        <v>37829</v>
      </c>
      <c r="H46">
        <v>1247</v>
      </c>
      <c r="J46" s="6" t="s">
        <v>122</v>
      </c>
      <c r="K46">
        <v>1670</v>
      </c>
      <c r="L46">
        <v>629</v>
      </c>
      <c r="M46">
        <v>835</v>
      </c>
      <c r="N46">
        <v>-123</v>
      </c>
      <c r="O46">
        <v>3011</v>
      </c>
    </row>
    <row r="47" spans="1:21" x14ac:dyDescent="0.3">
      <c r="A47" t="s">
        <v>210</v>
      </c>
      <c r="B47" t="s">
        <v>23</v>
      </c>
      <c r="C47">
        <v>362</v>
      </c>
      <c r="D47">
        <v>399</v>
      </c>
      <c r="E47">
        <v>145608</v>
      </c>
      <c r="F47">
        <v>7.3</v>
      </c>
      <c r="G47">
        <v>37636</v>
      </c>
      <c r="H47">
        <v>-37</v>
      </c>
      <c r="J47" s="6" t="s">
        <v>105</v>
      </c>
      <c r="K47">
        <v>1332</v>
      </c>
      <c r="L47">
        <v>1693</v>
      </c>
      <c r="M47">
        <v>98</v>
      </c>
      <c r="N47">
        <v>885</v>
      </c>
      <c r="O47">
        <v>4008</v>
      </c>
    </row>
    <row r="48" spans="1:21" x14ac:dyDescent="0.3">
      <c r="A48" t="s">
        <v>319</v>
      </c>
      <c r="B48" t="s">
        <v>38</v>
      </c>
      <c r="C48">
        <v>1013</v>
      </c>
      <c r="D48">
        <v>110</v>
      </c>
      <c r="E48">
        <v>466382</v>
      </c>
      <c r="F48">
        <v>5.3</v>
      </c>
      <c r="G48">
        <v>37132</v>
      </c>
      <c r="H48">
        <v>903</v>
      </c>
      <c r="J48" s="6" t="s">
        <v>97</v>
      </c>
      <c r="K48">
        <v>37</v>
      </c>
      <c r="L48">
        <v>1609</v>
      </c>
      <c r="M48">
        <v>1229</v>
      </c>
      <c r="N48">
        <v>28</v>
      </c>
      <c r="O48">
        <v>2903</v>
      </c>
    </row>
    <row r="49" spans="1:15" x14ac:dyDescent="0.3">
      <c r="A49" t="s">
        <v>394</v>
      </c>
      <c r="B49" t="s">
        <v>13</v>
      </c>
      <c r="C49">
        <v>1918</v>
      </c>
      <c r="D49">
        <v>212</v>
      </c>
      <c r="E49">
        <v>94360</v>
      </c>
      <c r="F49">
        <v>7.36</v>
      </c>
      <c r="G49">
        <v>36851</v>
      </c>
      <c r="H49">
        <v>1706</v>
      </c>
      <c r="J49" s="6" t="s">
        <v>93</v>
      </c>
      <c r="K49">
        <v>898</v>
      </c>
      <c r="L49">
        <v>-166</v>
      </c>
      <c r="M49">
        <v>1426</v>
      </c>
      <c r="N49">
        <v>1225</v>
      </c>
      <c r="O49">
        <v>3383</v>
      </c>
    </row>
    <row r="50" spans="1:15" x14ac:dyDescent="0.3">
      <c r="A50" t="s">
        <v>333</v>
      </c>
      <c r="B50" t="s">
        <v>38</v>
      </c>
      <c r="C50">
        <v>1466</v>
      </c>
      <c r="D50">
        <v>69</v>
      </c>
      <c r="E50">
        <v>54935</v>
      </c>
      <c r="F50">
        <v>6.85</v>
      </c>
      <c r="G50">
        <v>36484</v>
      </c>
      <c r="H50">
        <v>1397</v>
      </c>
      <c r="J50" s="6" t="s">
        <v>76</v>
      </c>
      <c r="K50">
        <v>453</v>
      </c>
      <c r="L50">
        <v>1539</v>
      </c>
      <c r="M50">
        <v>948</v>
      </c>
      <c r="N50">
        <v>637</v>
      </c>
      <c r="O50">
        <v>3577</v>
      </c>
    </row>
    <row r="51" spans="1:15" x14ac:dyDescent="0.3">
      <c r="A51" t="s">
        <v>396</v>
      </c>
      <c r="B51" t="s">
        <v>38</v>
      </c>
      <c r="C51">
        <v>1527</v>
      </c>
      <c r="D51">
        <v>303</v>
      </c>
      <c r="E51">
        <v>388555</v>
      </c>
      <c r="F51">
        <v>8.9</v>
      </c>
      <c r="G51">
        <v>36397</v>
      </c>
      <c r="H51">
        <v>1224</v>
      </c>
      <c r="J51" s="6" t="s">
        <v>72</v>
      </c>
      <c r="K51">
        <v>386</v>
      </c>
      <c r="L51">
        <v>576</v>
      </c>
      <c r="M51">
        <v>37</v>
      </c>
      <c r="N51">
        <v>1657</v>
      </c>
      <c r="O51">
        <v>2656</v>
      </c>
    </row>
    <row r="52" spans="1:15" x14ac:dyDescent="0.3">
      <c r="A52" t="s">
        <v>398</v>
      </c>
      <c r="B52" t="s">
        <v>38</v>
      </c>
      <c r="C52">
        <v>1696</v>
      </c>
      <c r="D52">
        <v>71</v>
      </c>
      <c r="E52">
        <v>421957</v>
      </c>
      <c r="F52">
        <v>3.79</v>
      </c>
      <c r="G52">
        <v>36103</v>
      </c>
      <c r="H52">
        <v>1625</v>
      </c>
      <c r="J52" s="6" t="s">
        <v>56</v>
      </c>
      <c r="K52">
        <v>-318</v>
      </c>
      <c r="L52">
        <v>541</v>
      </c>
      <c r="M52">
        <v>1495</v>
      </c>
      <c r="N52">
        <v>475</v>
      </c>
      <c r="O52">
        <v>2193</v>
      </c>
    </row>
    <row r="53" spans="1:15" x14ac:dyDescent="0.3">
      <c r="A53" t="s">
        <v>333</v>
      </c>
      <c r="B53" t="s">
        <v>23</v>
      </c>
      <c r="C53">
        <v>1821</v>
      </c>
      <c r="D53">
        <v>218</v>
      </c>
      <c r="E53">
        <v>439080</v>
      </c>
      <c r="F53">
        <v>5.68</v>
      </c>
      <c r="G53">
        <v>36095</v>
      </c>
      <c r="H53">
        <v>1603</v>
      </c>
      <c r="J53" s="6" t="s">
        <v>394</v>
      </c>
      <c r="K53">
        <v>-179</v>
      </c>
      <c r="L53">
        <v>1025</v>
      </c>
      <c r="M53">
        <v>599</v>
      </c>
      <c r="N53">
        <v>1706</v>
      </c>
      <c r="O53">
        <v>3151</v>
      </c>
    </row>
    <row r="54" spans="1:15" x14ac:dyDescent="0.3">
      <c r="A54" t="s">
        <v>404</v>
      </c>
      <c r="B54" t="s">
        <v>13</v>
      </c>
      <c r="C54">
        <v>1596</v>
      </c>
      <c r="D54">
        <v>211</v>
      </c>
      <c r="E54">
        <v>17380</v>
      </c>
      <c r="F54">
        <v>8.64</v>
      </c>
      <c r="G54">
        <v>35801</v>
      </c>
      <c r="H54">
        <v>1385</v>
      </c>
      <c r="J54" s="6" t="s">
        <v>399</v>
      </c>
      <c r="K54">
        <v>1776</v>
      </c>
      <c r="L54">
        <v>1765</v>
      </c>
      <c r="M54">
        <v>1529</v>
      </c>
      <c r="N54">
        <v>1460</v>
      </c>
      <c r="O54">
        <v>6530</v>
      </c>
    </row>
    <row r="55" spans="1:15" x14ac:dyDescent="0.3">
      <c r="A55" t="s">
        <v>178</v>
      </c>
      <c r="B55" t="s">
        <v>38</v>
      </c>
      <c r="C55">
        <v>215</v>
      </c>
      <c r="D55">
        <v>139</v>
      </c>
      <c r="E55">
        <v>325444</v>
      </c>
      <c r="F55">
        <v>3.25</v>
      </c>
      <c r="G55">
        <v>35501</v>
      </c>
      <c r="H55">
        <v>76</v>
      </c>
      <c r="J55" s="6" t="s">
        <v>405</v>
      </c>
      <c r="K55">
        <v>514</v>
      </c>
      <c r="L55">
        <v>641</v>
      </c>
      <c r="M55">
        <v>1676</v>
      </c>
      <c r="N55">
        <v>1467</v>
      </c>
      <c r="O55">
        <v>4298</v>
      </c>
    </row>
    <row r="56" spans="1:15" x14ac:dyDescent="0.3">
      <c r="A56" t="s">
        <v>135</v>
      </c>
      <c r="B56" t="s">
        <v>23</v>
      </c>
      <c r="C56">
        <v>1137</v>
      </c>
      <c r="D56">
        <v>226</v>
      </c>
      <c r="E56">
        <v>81119</v>
      </c>
      <c r="F56">
        <v>7.74</v>
      </c>
      <c r="G56">
        <v>35359</v>
      </c>
      <c r="H56">
        <v>911</v>
      </c>
      <c r="J56" s="6" t="s">
        <v>434</v>
      </c>
      <c r="K56">
        <v>35557</v>
      </c>
      <c r="L56">
        <v>48004</v>
      </c>
      <c r="M56">
        <v>41177</v>
      </c>
      <c r="N56">
        <v>35367</v>
      </c>
      <c r="O56">
        <v>160105</v>
      </c>
    </row>
    <row r="57" spans="1:15" x14ac:dyDescent="0.3">
      <c r="A57" t="s">
        <v>355</v>
      </c>
      <c r="B57" t="s">
        <v>38</v>
      </c>
      <c r="C57">
        <v>1371</v>
      </c>
      <c r="D57">
        <v>56</v>
      </c>
      <c r="E57">
        <v>257579</v>
      </c>
      <c r="F57">
        <v>8.6199999999999992</v>
      </c>
      <c r="G57">
        <v>33799</v>
      </c>
      <c r="H57">
        <v>1315</v>
      </c>
    </row>
    <row r="58" spans="1:15" x14ac:dyDescent="0.3">
      <c r="A58" t="s">
        <v>329</v>
      </c>
      <c r="B58" t="s">
        <v>38</v>
      </c>
      <c r="C58">
        <v>1957</v>
      </c>
      <c r="D58">
        <v>76</v>
      </c>
      <c r="E58">
        <v>447902</v>
      </c>
      <c r="F58">
        <v>6.09</v>
      </c>
      <c r="G58">
        <v>33381</v>
      </c>
      <c r="H58">
        <v>1881</v>
      </c>
    </row>
    <row r="59" spans="1:15" x14ac:dyDescent="0.3">
      <c r="A59" t="s">
        <v>248</v>
      </c>
      <c r="B59" t="s">
        <v>23</v>
      </c>
      <c r="C59">
        <v>485</v>
      </c>
      <c r="D59">
        <v>448</v>
      </c>
      <c r="E59">
        <v>434883</v>
      </c>
      <c r="F59">
        <v>8.5500000000000007</v>
      </c>
      <c r="G59">
        <v>33258</v>
      </c>
      <c r="H59">
        <v>37</v>
      </c>
    </row>
    <row r="60" spans="1:15" x14ac:dyDescent="0.3">
      <c r="A60" t="s">
        <v>396</v>
      </c>
      <c r="B60" t="s">
        <v>23</v>
      </c>
      <c r="C60">
        <v>201</v>
      </c>
      <c r="D60">
        <v>221</v>
      </c>
      <c r="E60">
        <v>309772</v>
      </c>
      <c r="F60">
        <v>5.9</v>
      </c>
      <c r="G60">
        <v>33174</v>
      </c>
      <c r="H60">
        <v>-20</v>
      </c>
      <c r="J60" s="4" t="s">
        <v>481</v>
      </c>
    </row>
    <row r="61" spans="1:15" x14ac:dyDescent="0.3">
      <c r="A61" t="s">
        <v>97</v>
      </c>
      <c r="B61" t="s">
        <v>13</v>
      </c>
      <c r="C61">
        <v>422</v>
      </c>
      <c r="D61">
        <v>394</v>
      </c>
      <c r="E61">
        <v>239044</v>
      </c>
      <c r="F61">
        <v>7.83</v>
      </c>
      <c r="G61">
        <v>32929</v>
      </c>
      <c r="H61">
        <v>28</v>
      </c>
      <c r="J61" s="4"/>
    </row>
    <row r="62" spans="1:15" x14ac:dyDescent="0.3">
      <c r="A62" t="s">
        <v>391</v>
      </c>
      <c r="B62" t="s">
        <v>23</v>
      </c>
      <c r="C62">
        <v>1701</v>
      </c>
      <c r="D62">
        <v>385</v>
      </c>
      <c r="E62">
        <v>198278</v>
      </c>
      <c r="F62">
        <v>5.34</v>
      </c>
      <c r="G62">
        <v>32763</v>
      </c>
      <c r="H62">
        <v>1316</v>
      </c>
      <c r="J62" s="4"/>
    </row>
    <row r="63" spans="1:15" x14ac:dyDescent="0.3">
      <c r="A63" t="s">
        <v>76</v>
      </c>
      <c r="B63" t="s">
        <v>23</v>
      </c>
      <c r="C63">
        <v>1222</v>
      </c>
      <c r="D63">
        <v>274</v>
      </c>
      <c r="E63">
        <v>487289</v>
      </c>
      <c r="F63">
        <v>3.16</v>
      </c>
      <c r="G63">
        <v>32500</v>
      </c>
      <c r="H63">
        <v>948</v>
      </c>
      <c r="J63" s="21" t="s">
        <v>1</v>
      </c>
      <c r="K63" s="21" t="s">
        <v>482</v>
      </c>
      <c r="L63" s="21" t="s">
        <v>483</v>
      </c>
    </row>
    <row r="64" spans="1:15" x14ac:dyDescent="0.3">
      <c r="A64" t="s">
        <v>159</v>
      </c>
      <c r="B64" t="s">
        <v>38</v>
      </c>
      <c r="C64">
        <v>703</v>
      </c>
      <c r="D64">
        <v>441</v>
      </c>
      <c r="E64">
        <v>357089</v>
      </c>
      <c r="F64">
        <v>6.5</v>
      </c>
      <c r="G64">
        <v>32478</v>
      </c>
      <c r="H64">
        <v>262</v>
      </c>
      <c r="J64" s="22" t="s">
        <v>38</v>
      </c>
      <c r="K64" s="22" t="str">
        <f>INDEX($A$1:$A$201,MATCH(_xlfn.MAXIFS(H1:H201,B1:B201,$J64),$H$1:$H$201,0))</f>
        <v>05-05-2025</v>
      </c>
      <c r="L64" s="22">
        <f>_xlfn.MAXIFS($H$1:$H$201,$B$1:$B$201,$J64)</f>
        <v>1881</v>
      </c>
    </row>
    <row r="65" spans="1:12" x14ac:dyDescent="0.3">
      <c r="A65" t="s">
        <v>222</v>
      </c>
      <c r="B65" t="s">
        <v>23</v>
      </c>
      <c r="C65">
        <v>704</v>
      </c>
      <c r="D65">
        <v>275</v>
      </c>
      <c r="E65">
        <v>226002</v>
      </c>
      <c r="F65">
        <v>8.56</v>
      </c>
      <c r="G65">
        <v>32393</v>
      </c>
      <c r="H65">
        <v>429</v>
      </c>
      <c r="J65" s="3" t="s">
        <v>18</v>
      </c>
      <c r="K65" s="3" t="str">
        <f>INDEX($A$1:$A$201,MATCH(_xlfn.MAXIFS(H2:H202,B2:B202,$J65),$H$1:$H$201,0))</f>
        <v>30-12-2024</v>
      </c>
      <c r="L65" s="3">
        <f>_xlfn.MAXIFS($H$1:$H$201,$B$1:$B$201,$J65)</f>
        <v>1776</v>
      </c>
    </row>
    <row r="66" spans="1:12" x14ac:dyDescent="0.3">
      <c r="A66" t="s">
        <v>210</v>
      </c>
      <c r="B66" t="s">
        <v>18</v>
      </c>
      <c r="C66">
        <v>1895</v>
      </c>
      <c r="D66">
        <v>305</v>
      </c>
      <c r="E66">
        <v>104967</v>
      </c>
      <c r="F66">
        <v>3.85</v>
      </c>
      <c r="G66">
        <v>31853</v>
      </c>
      <c r="H66">
        <v>1590</v>
      </c>
      <c r="J66" s="3" t="s">
        <v>23</v>
      </c>
      <c r="K66" s="3" t="str">
        <f>INDEX($A$1:$A$201,MATCH(_xlfn.MAXIFS(H3:H203,B3:B203,$J66),$H$1:$H$201,0))</f>
        <v>09-12-2024</v>
      </c>
      <c r="L66" s="3">
        <f>_xlfn.MAXIFS($H$1:$H$201,$B$1:$B$201,$J66)</f>
        <v>1727</v>
      </c>
    </row>
    <row r="67" spans="1:12" x14ac:dyDescent="0.3">
      <c r="A67" t="s">
        <v>122</v>
      </c>
      <c r="B67" t="s">
        <v>23</v>
      </c>
      <c r="C67">
        <v>1238</v>
      </c>
      <c r="D67">
        <v>403</v>
      </c>
      <c r="E67">
        <v>298421</v>
      </c>
      <c r="F67">
        <v>3.5</v>
      </c>
      <c r="G67">
        <v>31280</v>
      </c>
      <c r="H67">
        <v>835</v>
      </c>
      <c r="J67" s="3" t="s">
        <v>13</v>
      </c>
      <c r="K67" s="3" t="str">
        <f>INDEX($A$1:$A$201,MATCH(_xlfn.MAXIFS(H4:H204,B4:B204,$J67),$H$1:$H$201,0))</f>
        <v>30-09-2024</v>
      </c>
      <c r="L67" s="3">
        <f>_xlfn.MAXIFS($H$1:$H$201,$B$1:$B$201,$J67)</f>
        <v>1706</v>
      </c>
    </row>
    <row r="68" spans="1:12" x14ac:dyDescent="0.3">
      <c r="A68" t="s">
        <v>355</v>
      </c>
      <c r="B68" t="s">
        <v>13</v>
      </c>
      <c r="C68">
        <v>510</v>
      </c>
      <c r="D68">
        <v>195</v>
      </c>
      <c r="E68">
        <v>224534</v>
      </c>
      <c r="F68">
        <v>9.4</v>
      </c>
      <c r="G68">
        <v>30987</v>
      </c>
      <c r="H68">
        <v>315</v>
      </c>
    </row>
    <row r="69" spans="1:12" x14ac:dyDescent="0.3">
      <c r="A69" t="s">
        <v>351</v>
      </c>
      <c r="B69" t="s">
        <v>13</v>
      </c>
      <c r="C69">
        <v>1535</v>
      </c>
      <c r="D69">
        <v>445</v>
      </c>
      <c r="E69">
        <v>395536</v>
      </c>
      <c r="F69">
        <v>4.1100000000000003</v>
      </c>
      <c r="G69">
        <v>30671</v>
      </c>
      <c r="H69">
        <v>1090</v>
      </c>
    </row>
    <row r="70" spans="1:12" x14ac:dyDescent="0.3">
      <c r="A70" t="s">
        <v>122</v>
      </c>
      <c r="B70" t="s">
        <v>18</v>
      </c>
      <c r="C70">
        <v>1779</v>
      </c>
      <c r="D70">
        <v>109</v>
      </c>
      <c r="E70">
        <v>26295</v>
      </c>
      <c r="F70">
        <v>9.1199999999999992</v>
      </c>
      <c r="G70">
        <v>30635</v>
      </c>
      <c r="H70">
        <v>1670</v>
      </c>
    </row>
    <row r="71" spans="1:12" x14ac:dyDescent="0.3">
      <c r="A71" t="s">
        <v>394</v>
      </c>
      <c r="B71" t="s">
        <v>38</v>
      </c>
      <c r="C71">
        <v>1433</v>
      </c>
      <c r="D71">
        <v>408</v>
      </c>
      <c r="E71">
        <v>370269</v>
      </c>
      <c r="F71">
        <v>3.3</v>
      </c>
      <c r="G71">
        <v>30575</v>
      </c>
      <c r="H71">
        <v>1025</v>
      </c>
      <c r="L71" s="4" t="s">
        <v>484</v>
      </c>
    </row>
    <row r="72" spans="1:12" x14ac:dyDescent="0.3">
      <c r="A72" t="s">
        <v>397</v>
      </c>
      <c r="B72" t="s">
        <v>23</v>
      </c>
      <c r="C72">
        <v>1487</v>
      </c>
      <c r="D72">
        <v>337</v>
      </c>
      <c r="E72">
        <v>87305</v>
      </c>
      <c r="F72">
        <v>2.46</v>
      </c>
      <c r="G72">
        <v>30428</v>
      </c>
      <c r="H72">
        <v>1150</v>
      </c>
    </row>
    <row r="73" spans="1:12" x14ac:dyDescent="0.3">
      <c r="A73" t="s">
        <v>392</v>
      </c>
      <c r="B73" t="s">
        <v>23</v>
      </c>
      <c r="C73">
        <v>1472</v>
      </c>
      <c r="D73">
        <v>347</v>
      </c>
      <c r="E73">
        <v>392355</v>
      </c>
      <c r="F73">
        <v>8.59</v>
      </c>
      <c r="G73">
        <v>30270</v>
      </c>
      <c r="H73">
        <v>1125</v>
      </c>
    </row>
    <row r="74" spans="1:12" x14ac:dyDescent="0.3">
      <c r="A74" t="s">
        <v>72</v>
      </c>
      <c r="B74" t="s">
        <v>18</v>
      </c>
      <c r="C74">
        <v>859</v>
      </c>
      <c r="D74">
        <v>473</v>
      </c>
      <c r="E74">
        <v>209987</v>
      </c>
      <c r="F74">
        <v>4.46</v>
      </c>
      <c r="G74">
        <v>30214</v>
      </c>
      <c r="H74">
        <v>386</v>
      </c>
    </row>
    <row r="75" spans="1:12" x14ac:dyDescent="0.3">
      <c r="A75" t="s">
        <v>376</v>
      </c>
      <c r="B75" t="s">
        <v>13</v>
      </c>
      <c r="C75">
        <v>144</v>
      </c>
      <c r="D75">
        <v>53</v>
      </c>
      <c r="E75">
        <v>113678</v>
      </c>
      <c r="F75">
        <v>8.7200000000000006</v>
      </c>
      <c r="G75">
        <v>30060</v>
      </c>
      <c r="H75">
        <v>91</v>
      </c>
    </row>
    <row r="76" spans="1:12" x14ac:dyDescent="0.3">
      <c r="A76" t="s">
        <v>188</v>
      </c>
      <c r="B76" t="s">
        <v>38</v>
      </c>
      <c r="C76">
        <v>187</v>
      </c>
      <c r="D76">
        <v>236</v>
      </c>
      <c r="E76">
        <v>51087</v>
      </c>
      <c r="F76">
        <v>9.41</v>
      </c>
      <c r="G76">
        <v>29533</v>
      </c>
      <c r="H76">
        <v>-49</v>
      </c>
    </row>
    <row r="77" spans="1:12" x14ac:dyDescent="0.3">
      <c r="A77" t="s">
        <v>404</v>
      </c>
      <c r="B77" t="s">
        <v>18</v>
      </c>
      <c r="C77">
        <v>1358</v>
      </c>
      <c r="D77">
        <v>242</v>
      </c>
      <c r="E77">
        <v>342129</v>
      </c>
      <c r="F77">
        <v>4.9400000000000004</v>
      </c>
      <c r="G77">
        <v>29116</v>
      </c>
      <c r="H77">
        <v>1116</v>
      </c>
    </row>
    <row r="78" spans="1:12" x14ac:dyDescent="0.3">
      <c r="A78" t="s">
        <v>105</v>
      </c>
      <c r="B78" t="s">
        <v>18</v>
      </c>
      <c r="C78">
        <v>1710</v>
      </c>
      <c r="D78">
        <v>378</v>
      </c>
      <c r="E78">
        <v>336661</v>
      </c>
      <c r="F78">
        <v>6.2</v>
      </c>
      <c r="G78">
        <v>28498</v>
      </c>
      <c r="H78">
        <v>1332</v>
      </c>
    </row>
    <row r="79" spans="1:12" x14ac:dyDescent="0.3">
      <c r="A79" t="s">
        <v>222</v>
      </c>
      <c r="B79" t="s">
        <v>13</v>
      </c>
      <c r="C79">
        <v>224</v>
      </c>
      <c r="D79">
        <v>64</v>
      </c>
      <c r="E79">
        <v>156683</v>
      </c>
      <c r="F79">
        <v>4.5599999999999996</v>
      </c>
      <c r="G79">
        <v>28474</v>
      </c>
      <c r="H79">
        <v>160</v>
      </c>
    </row>
    <row r="80" spans="1:12" x14ac:dyDescent="0.3">
      <c r="A80" t="s">
        <v>395</v>
      </c>
      <c r="B80" t="s">
        <v>13</v>
      </c>
      <c r="C80">
        <v>307</v>
      </c>
      <c r="D80">
        <v>189</v>
      </c>
      <c r="E80">
        <v>117767</v>
      </c>
      <c r="F80">
        <v>9.3000000000000007</v>
      </c>
      <c r="G80">
        <v>27822</v>
      </c>
      <c r="H80">
        <v>118</v>
      </c>
    </row>
    <row r="81" spans="1:8" x14ac:dyDescent="0.3">
      <c r="A81" t="s">
        <v>97</v>
      </c>
      <c r="B81" t="s">
        <v>18</v>
      </c>
      <c r="C81">
        <v>248</v>
      </c>
      <c r="D81">
        <v>211</v>
      </c>
      <c r="E81">
        <v>379380</v>
      </c>
      <c r="F81">
        <v>9.0399999999999991</v>
      </c>
      <c r="G81">
        <v>26925</v>
      </c>
      <c r="H81">
        <v>37</v>
      </c>
    </row>
    <row r="82" spans="1:8" x14ac:dyDescent="0.3">
      <c r="A82" t="s">
        <v>351</v>
      </c>
      <c r="B82" t="s">
        <v>23</v>
      </c>
      <c r="C82">
        <v>584</v>
      </c>
      <c r="D82">
        <v>169</v>
      </c>
      <c r="E82">
        <v>146834</v>
      </c>
      <c r="F82">
        <v>8.31</v>
      </c>
      <c r="G82">
        <v>26752</v>
      </c>
      <c r="H82">
        <v>415</v>
      </c>
    </row>
    <row r="83" spans="1:8" x14ac:dyDescent="0.3">
      <c r="A83" t="s">
        <v>285</v>
      </c>
      <c r="B83" t="s">
        <v>38</v>
      </c>
      <c r="C83">
        <v>1592</v>
      </c>
      <c r="D83">
        <v>20</v>
      </c>
      <c r="E83">
        <v>378054</v>
      </c>
      <c r="F83">
        <v>9.09</v>
      </c>
      <c r="G83">
        <v>26663</v>
      </c>
      <c r="H83">
        <v>1572</v>
      </c>
    </row>
    <row r="84" spans="1:8" x14ac:dyDescent="0.3">
      <c r="A84" t="s">
        <v>325</v>
      </c>
      <c r="B84" t="s">
        <v>18</v>
      </c>
      <c r="C84">
        <v>214</v>
      </c>
      <c r="D84">
        <v>411</v>
      </c>
      <c r="E84">
        <v>125034</v>
      </c>
      <c r="F84">
        <v>6.11</v>
      </c>
      <c r="G84">
        <v>26455</v>
      </c>
      <c r="H84">
        <v>-197</v>
      </c>
    </row>
    <row r="85" spans="1:8" x14ac:dyDescent="0.3">
      <c r="A85" t="s">
        <v>391</v>
      </c>
      <c r="B85" t="s">
        <v>13</v>
      </c>
      <c r="C85">
        <v>804</v>
      </c>
      <c r="D85">
        <v>487</v>
      </c>
      <c r="E85">
        <v>306564</v>
      </c>
      <c r="F85">
        <v>5.52</v>
      </c>
      <c r="G85">
        <v>26452</v>
      </c>
      <c r="H85">
        <v>317</v>
      </c>
    </row>
    <row r="86" spans="1:8" x14ac:dyDescent="0.3">
      <c r="A86" t="s">
        <v>398</v>
      </c>
      <c r="B86" t="s">
        <v>18</v>
      </c>
      <c r="C86">
        <v>1902</v>
      </c>
      <c r="D86">
        <v>196</v>
      </c>
      <c r="E86">
        <v>470269</v>
      </c>
      <c r="F86">
        <v>4.79</v>
      </c>
      <c r="G86">
        <v>26103</v>
      </c>
      <c r="H86">
        <v>1706</v>
      </c>
    </row>
    <row r="87" spans="1:8" x14ac:dyDescent="0.3">
      <c r="A87" t="s">
        <v>391</v>
      </c>
      <c r="B87" t="s">
        <v>18</v>
      </c>
      <c r="C87">
        <v>1391</v>
      </c>
      <c r="D87">
        <v>430</v>
      </c>
      <c r="E87">
        <v>295032</v>
      </c>
      <c r="F87">
        <v>7.86</v>
      </c>
      <c r="G87">
        <v>26067</v>
      </c>
      <c r="H87">
        <v>961</v>
      </c>
    </row>
    <row r="88" spans="1:8" x14ac:dyDescent="0.3">
      <c r="A88" t="s">
        <v>406</v>
      </c>
      <c r="B88" t="s">
        <v>18</v>
      </c>
      <c r="C88">
        <v>198</v>
      </c>
      <c r="D88">
        <v>373</v>
      </c>
      <c r="E88">
        <v>70707</v>
      </c>
      <c r="F88">
        <v>4.83</v>
      </c>
      <c r="G88">
        <v>25920</v>
      </c>
      <c r="H88">
        <v>-175</v>
      </c>
    </row>
    <row r="89" spans="1:8" x14ac:dyDescent="0.3">
      <c r="A89" t="s">
        <v>363</v>
      </c>
      <c r="B89" t="s">
        <v>23</v>
      </c>
      <c r="C89">
        <v>557</v>
      </c>
      <c r="D89">
        <v>360</v>
      </c>
      <c r="E89">
        <v>318779</v>
      </c>
      <c r="F89">
        <v>8.02</v>
      </c>
      <c r="G89">
        <v>25797</v>
      </c>
      <c r="H89">
        <v>197</v>
      </c>
    </row>
    <row r="90" spans="1:8" x14ac:dyDescent="0.3">
      <c r="A90" t="s">
        <v>93</v>
      </c>
      <c r="B90" t="s">
        <v>38</v>
      </c>
      <c r="C90">
        <v>115</v>
      </c>
      <c r="D90">
        <v>281</v>
      </c>
      <c r="E90">
        <v>357265</v>
      </c>
      <c r="F90">
        <v>9.23</v>
      </c>
      <c r="G90">
        <v>25525</v>
      </c>
      <c r="H90">
        <v>-166</v>
      </c>
    </row>
    <row r="91" spans="1:8" x14ac:dyDescent="0.3">
      <c r="A91" t="s">
        <v>399</v>
      </c>
      <c r="B91" t="s">
        <v>18</v>
      </c>
      <c r="C91">
        <v>1980</v>
      </c>
      <c r="D91">
        <v>204</v>
      </c>
      <c r="E91">
        <v>379431</v>
      </c>
      <c r="F91">
        <v>3.09</v>
      </c>
      <c r="G91">
        <v>25140</v>
      </c>
      <c r="H91">
        <v>1776</v>
      </c>
    </row>
    <row r="92" spans="1:8" x14ac:dyDescent="0.3">
      <c r="A92" t="s">
        <v>97</v>
      </c>
      <c r="B92" t="s">
        <v>38</v>
      </c>
      <c r="C92">
        <v>1685</v>
      </c>
      <c r="D92">
        <v>76</v>
      </c>
      <c r="E92">
        <v>453799</v>
      </c>
      <c r="F92">
        <v>5.71</v>
      </c>
      <c r="G92">
        <v>24913</v>
      </c>
      <c r="H92">
        <v>1609</v>
      </c>
    </row>
    <row r="93" spans="1:8" x14ac:dyDescent="0.3">
      <c r="A93" t="s">
        <v>275</v>
      </c>
      <c r="B93" t="s">
        <v>13</v>
      </c>
      <c r="C93">
        <v>1707</v>
      </c>
      <c r="D93">
        <v>263</v>
      </c>
      <c r="E93">
        <v>485280</v>
      </c>
      <c r="F93">
        <v>9.0299999999999994</v>
      </c>
      <c r="G93">
        <v>24494</v>
      </c>
      <c r="H93">
        <v>1444</v>
      </c>
    </row>
    <row r="94" spans="1:8" x14ac:dyDescent="0.3">
      <c r="A94" t="s">
        <v>363</v>
      </c>
      <c r="B94" t="s">
        <v>18</v>
      </c>
      <c r="C94">
        <v>1520</v>
      </c>
      <c r="D94">
        <v>475</v>
      </c>
      <c r="E94">
        <v>496982</v>
      </c>
      <c r="F94">
        <v>6.41</v>
      </c>
      <c r="G94">
        <v>24384</v>
      </c>
      <c r="H94">
        <v>1045</v>
      </c>
    </row>
    <row r="95" spans="1:8" x14ac:dyDescent="0.3">
      <c r="A95" t="s">
        <v>206</v>
      </c>
      <c r="B95" t="s">
        <v>13</v>
      </c>
      <c r="C95">
        <v>403</v>
      </c>
      <c r="D95">
        <v>66</v>
      </c>
      <c r="E95">
        <v>382851</v>
      </c>
      <c r="F95">
        <v>3.49</v>
      </c>
      <c r="G95">
        <v>24313</v>
      </c>
      <c r="H95">
        <v>337</v>
      </c>
    </row>
    <row r="96" spans="1:8" x14ac:dyDescent="0.3">
      <c r="A96" t="s">
        <v>393</v>
      </c>
      <c r="B96" t="s">
        <v>23</v>
      </c>
      <c r="C96">
        <v>1911</v>
      </c>
      <c r="D96">
        <v>231</v>
      </c>
      <c r="E96">
        <v>268516</v>
      </c>
      <c r="F96">
        <v>8.5500000000000007</v>
      </c>
      <c r="G96">
        <v>24018</v>
      </c>
      <c r="H96">
        <v>1680</v>
      </c>
    </row>
    <row r="97" spans="1:8" x14ac:dyDescent="0.3">
      <c r="A97" t="s">
        <v>401</v>
      </c>
      <c r="B97" t="s">
        <v>18</v>
      </c>
      <c r="C97">
        <v>663</v>
      </c>
      <c r="D97">
        <v>236</v>
      </c>
      <c r="E97">
        <v>479490</v>
      </c>
      <c r="F97">
        <v>4.51</v>
      </c>
      <c r="G97">
        <v>23853</v>
      </c>
      <c r="H97">
        <v>427</v>
      </c>
    </row>
    <row r="98" spans="1:8" x14ac:dyDescent="0.3">
      <c r="A98" t="s">
        <v>275</v>
      </c>
      <c r="B98" t="s">
        <v>18</v>
      </c>
      <c r="C98">
        <v>1294</v>
      </c>
      <c r="D98">
        <v>382</v>
      </c>
      <c r="E98">
        <v>309914</v>
      </c>
      <c r="F98">
        <v>8.0299999999999994</v>
      </c>
      <c r="G98">
        <v>23489</v>
      </c>
      <c r="H98">
        <v>912</v>
      </c>
    </row>
    <row r="99" spans="1:8" x14ac:dyDescent="0.3">
      <c r="A99" t="s">
        <v>405</v>
      </c>
      <c r="B99" t="s">
        <v>18</v>
      </c>
      <c r="C99">
        <v>988</v>
      </c>
      <c r="D99">
        <v>474</v>
      </c>
      <c r="E99">
        <v>370070</v>
      </c>
      <c r="F99">
        <v>9.4600000000000009</v>
      </c>
      <c r="G99">
        <v>23461</v>
      </c>
      <c r="H99">
        <v>514</v>
      </c>
    </row>
    <row r="100" spans="1:8" x14ac:dyDescent="0.3">
      <c r="A100" t="s">
        <v>405</v>
      </c>
      <c r="B100" t="s">
        <v>38</v>
      </c>
      <c r="C100">
        <v>1033</v>
      </c>
      <c r="D100">
        <v>392</v>
      </c>
      <c r="E100">
        <v>282780</v>
      </c>
      <c r="F100">
        <v>6.27</v>
      </c>
      <c r="G100">
        <v>23140</v>
      </c>
      <c r="H100">
        <v>641</v>
      </c>
    </row>
    <row r="101" spans="1:8" x14ac:dyDescent="0.3">
      <c r="A101" t="s">
        <v>210</v>
      </c>
      <c r="B101" t="s">
        <v>13</v>
      </c>
      <c r="C101">
        <v>1662</v>
      </c>
      <c r="D101">
        <v>487</v>
      </c>
      <c r="E101">
        <v>105980</v>
      </c>
      <c r="F101">
        <v>9.08</v>
      </c>
      <c r="G101">
        <v>22996</v>
      </c>
      <c r="H101">
        <v>1175</v>
      </c>
    </row>
    <row r="102" spans="1:8" x14ac:dyDescent="0.3">
      <c r="A102" t="s">
        <v>390</v>
      </c>
      <c r="B102" t="s">
        <v>38</v>
      </c>
      <c r="C102">
        <v>1757</v>
      </c>
      <c r="D102">
        <v>85</v>
      </c>
      <c r="E102">
        <v>58223</v>
      </c>
      <c r="F102">
        <v>8.74</v>
      </c>
      <c r="G102">
        <v>22728</v>
      </c>
      <c r="H102">
        <v>1672</v>
      </c>
    </row>
    <row r="103" spans="1:8" x14ac:dyDescent="0.3">
      <c r="A103" t="s">
        <v>281</v>
      </c>
      <c r="B103" t="s">
        <v>38</v>
      </c>
      <c r="C103">
        <v>1494</v>
      </c>
      <c r="D103">
        <v>375</v>
      </c>
      <c r="E103">
        <v>220616</v>
      </c>
      <c r="F103">
        <v>1.81</v>
      </c>
      <c r="G103">
        <v>22724</v>
      </c>
      <c r="H103">
        <v>1119</v>
      </c>
    </row>
    <row r="104" spans="1:8" x14ac:dyDescent="0.3">
      <c r="A104" t="s">
        <v>131</v>
      </c>
      <c r="B104" t="s">
        <v>18</v>
      </c>
      <c r="C104">
        <v>1884</v>
      </c>
      <c r="D104">
        <v>177</v>
      </c>
      <c r="E104">
        <v>230448</v>
      </c>
      <c r="F104">
        <v>7.8</v>
      </c>
      <c r="G104">
        <v>22713</v>
      </c>
      <c r="H104">
        <v>1707</v>
      </c>
    </row>
    <row r="105" spans="1:8" x14ac:dyDescent="0.3">
      <c r="A105" t="s">
        <v>206</v>
      </c>
      <c r="B105" t="s">
        <v>23</v>
      </c>
      <c r="C105">
        <v>1335</v>
      </c>
      <c r="D105">
        <v>40</v>
      </c>
      <c r="E105">
        <v>122732</v>
      </c>
      <c r="F105">
        <v>8.19</v>
      </c>
      <c r="G105">
        <v>22482</v>
      </c>
      <c r="H105">
        <v>1295</v>
      </c>
    </row>
    <row r="106" spans="1:8" x14ac:dyDescent="0.3">
      <c r="A106" t="s">
        <v>188</v>
      </c>
      <c r="B106" t="s">
        <v>13</v>
      </c>
      <c r="C106">
        <v>278</v>
      </c>
      <c r="D106">
        <v>218</v>
      </c>
      <c r="E106">
        <v>301695</v>
      </c>
      <c r="F106">
        <v>4.68</v>
      </c>
      <c r="G106">
        <v>22373</v>
      </c>
      <c r="H106">
        <v>60</v>
      </c>
    </row>
    <row r="107" spans="1:8" x14ac:dyDescent="0.3">
      <c r="A107" t="s">
        <v>178</v>
      </c>
      <c r="B107" t="s">
        <v>23</v>
      </c>
      <c r="C107">
        <v>1751</v>
      </c>
      <c r="D107">
        <v>86</v>
      </c>
      <c r="E107">
        <v>188655</v>
      </c>
      <c r="F107">
        <v>7.24</v>
      </c>
      <c r="G107">
        <v>22206</v>
      </c>
      <c r="H107">
        <v>1665</v>
      </c>
    </row>
    <row r="108" spans="1:8" x14ac:dyDescent="0.3">
      <c r="A108" t="s">
        <v>392</v>
      </c>
      <c r="B108" t="s">
        <v>38</v>
      </c>
      <c r="C108">
        <v>778</v>
      </c>
      <c r="D108">
        <v>401</v>
      </c>
      <c r="E108">
        <v>50793</v>
      </c>
      <c r="F108">
        <v>3.4</v>
      </c>
      <c r="G108">
        <v>21939</v>
      </c>
      <c r="H108">
        <v>377</v>
      </c>
    </row>
    <row r="109" spans="1:8" x14ac:dyDescent="0.3">
      <c r="A109" t="s">
        <v>403</v>
      </c>
      <c r="B109" t="s">
        <v>18</v>
      </c>
      <c r="C109">
        <v>1098</v>
      </c>
      <c r="D109">
        <v>190</v>
      </c>
      <c r="E109">
        <v>340842</v>
      </c>
      <c r="F109">
        <v>9.39</v>
      </c>
      <c r="G109">
        <v>21539</v>
      </c>
      <c r="H109">
        <v>908</v>
      </c>
    </row>
    <row r="110" spans="1:8" x14ac:dyDescent="0.3">
      <c r="A110" t="s">
        <v>128</v>
      </c>
      <c r="B110" t="s">
        <v>18</v>
      </c>
      <c r="C110">
        <v>609</v>
      </c>
      <c r="D110">
        <v>135</v>
      </c>
      <c r="E110">
        <v>373606</v>
      </c>
      <c r="F110">
        <v>8.52</v>
      </c>
      <c r="G110">
        <v>21453</v>
      </c>
      <c r="H110">
        <v>474</v>
      </c>
    </row>
    <row r="111" spans="1:8" x14ac:dyDescent="0.3">
      <c r="A111" t="s">
        <v>159</v>
      </c>
      <c r="B111" t="s">
        <v>23</v>
      </c>
      <c r="C111">
        <v>697</v>
      </c>
      <c r="D111">
        <v>61</v>
      </c>
      <c r="E111">
        <v>258287</v>
      </c>
      <c r="F111">
        <v>8.25</v>
      </c>
      <c r="G111">
        <v>21208</v>
      </c>
      <c r="H111">
        <v>636</v>
      </c>
    </row>
    <row r="112" spans="1:8" x14ac:dyDescent="0.3">
      <c r="A112" t="s">
        <v>271</v>
      </c>
      <c r="B112" t="s">
        <v>13</v>
      </c>
      <c r="C112">
        <v>1197</v>
      </c>
      <c r="D112">
        <v>203</v>
      </c>
      <c r="E112">
        <v>413878</v>
      </c>
      <c r="F112">
        <v>3.16</v>
      </c>
      <c r="G112">
        <v>21205</v>
      </c>
      <c r="H112">
        <v>994</v>
      </c>
    </row>
    <row r="113" spans="1:8" x14ac:dyDescent="0.3">
      <c r="A113" t="s">
        <v>128</v>
      </c>
      <c r="B113" t="s">
        <v>23</v>
      </c>
      <c r="C113">
        <v>364</v>
      </c>
      <c r="D113">
        <v>72</v>
      </c>
      <c r="E113">
        <v>211090</v>
      </c>
      <c r="F113">
        <v>5.53</v>
      </c>
      <c r="G113">
        <v>21061</v>
      </c>
      <c r="H113">
        <v>292</v>
      </c>
    </row>
    <row r="114" spans="1:8" x14ac:dyDescent="0.3">
      <c r="A114" t="s">
        <v>281</v>
      </c>
      <c r="B114" t="s">
        <v>23</v>
      </c>
      <c r="C114">
        <v>1937</v>
      </c>
      <c r="D114">
        <v>210</v>
      </c>
      <c r="E114">
        <v>20607</v>
      </c>
      <c r="F114">
        <v>4.2</v>
      </c>
      <c r="G114">
        <v>20861</v>
      </c>
      <c r="H114">
        <v>1727</v>
      </c>
    </row>
    <row r="115" spans="1:8" x14ac:dyDescent="0.3">
      <c r="A115" t="s">
        <v>406</v>
      </c>
      <c r="B115" t="s">
        <v>13</v>
      </c>
      <c r="C115">
        <v>520</v>
      </c>
      <c r="D115">
        <v>375</v>
      </c>
      <c r="E115">
        <v>369525</v>
      </c>
      <c r="F115">
        <v>6.54</v>
      </c>
      <c r="G115">
        <v>20733</v>
      </c>
      <c r="H115">
        <v>145</v>
      </c>
    </row>
    <row r="116" spans="1:8" x14ac:dyDescent="0.3">
      <c r="A116" t="s">
        <v>213</v>
      </c>
      <c r="B116" t="s">
        <v>38</v>
      </c>
      <c r="C116">
        <v>1502</v>
      </c>
      <c r="D116">
        <v>70</v>
      </c>
      <c r="E116">
        <v>465553</v>
      </c>
      <c r="F116">
        <v>3.32</v>
      </c>
      <c r="G116">
        <v>20692</v>
      </c>
      <c r="H116">
        <v>1432</v>
      </c>
    </row>
    <row r="117" spans="1:8" x14ac:dyDescent="0.3">
      <c r="A117" t="s">
        <v>93</v>
      </c>
      <c r="B117" t="s">
        <v>18</v>
      </c>
      <c r="C117">
        <v>1249</v>
      </c>
      <c r="D117">
        <v>351</v>
      </c>
      <c r="E117">
        <v>321307</v>
      </c>
      <c r="F117">
        <v>6.37</v>
      </c>
      <c r="G117">
        <v>20560</v>
      </c>
      <c r="H117">
        <v>898</v>
      </c>
    </row>
    <row r="118" spans="1:8" x14ac:dyDescent="0.3">
      <c r="A118" t="s">
        <v>355</v>
      </c>
      <c r="B118" t="s">
        <v>18</v>
      </c>
      <c r="C118">
        <v>345</v>
      </c>
      <c r="D118">
        <v>464</v>
      </c>
      <c r="E118">
        <v>366881</v>
      </c>
      <c r="F118">
        <v>4.55</v>
      </c>
      <c r="G118">
        <v>20553</v>
      </c>
      <c r="H118">
        <v>-119</v>
      </c>
    </row>
    <row r="119" spans="1:8" x14ac:dyDescent="0.3">
      <c r="A119" t="s">
        <v>128</v>
      </c>
      <c r="B119" t="s">
        <v>13</v>
      </c>
      <c r="C119">
        <v>442</v>
      </c>
      <c r="D119">
        <v>53</v>
      </c>
      <c r="E119">
        <v>441931</v>
      </c>
      <c r="F119">
        <v>1.87</v>
      </c>
      <c r="G119">
        <v>20059</v>
      </c>
      <c r="H119">
        <v>389</v>
      </c>
    </row>
    <row r="120" spans="1:8" x14ac:dyDescent="0.3">
      <c r="A120" t="s">
        <v>252</v>
      </c>
      <c r="B120" t="s">
        <v>38</v>
      </c>
      <c r="C120">
        <v>1765</v>
      </c>
      <c r="D120">
        <v>109</v>
      </c>
      <c r="E120">
        <v>468301</v>
      </c>
      <c r="F120">
        <v>1.82</v>
      </c>
      <c r="G120">
        <v>20042</v>
      </c>
      <c r="H120">
        <v>1656</v>
      </c>
    </row>
    <row r="121" spans="1:8" x14ac:dyDescent="0.3">
      <c r="A121" t="s">
        <v>93</v>
      </c>
      <c r="B121" t="s">
        <v>23</v>
      </c>
      <c r="C121">
        <v>1501</v>
      </c>
      <c r="D121">
        <v>75</v>
      </c>
      <c r="E121">
        <v>262569</v>
      </c>
      <c r="F121">
        <v>2.0099999999999998</v>
      </c>
      <c r="G121">
        <v>19119</v>
      </c>
      <c r="H121">
        <v>1426</v>
      </c>
    </row>
    <row r="122" spans="1:8" x14ac:dyDescent="0.3">
      <c r="A122" t="s">
        <v>407</v>
      </c>
      <c r="B122" t="s">
        <v>38</v>
      </c>
      <c r="C122">
        <v>961</v>
      </c>
      <c r="D122">
        <v>358</v>
      </c>
      <c r="E122">
        <v>62942</v>
      </c>
      <c r="F122">
        <v>6.8</v>
      </c>
      <c r="G122">
        <v>18693</v>
      </c>
      <c r="H122">
        <v>603</v>
      </c>
    </row>
    <row r="123" spans="1:8" x14ac:dyDescent="0.3">
      <c r="A123" t="s">
        <v>213</v>
      </c>
      <c r="B123" t="s">
        <v>18</v>
      </c>
      <c r="C123">
        <v>1623</v>
      </c>
      <c r="D123">
        <v>246</v>
      </c>
      <c r="E123">
        <v>415815</v>
      </c>
      <c r="F123">
        <v>8.11</v>
      </c>
      <c r="G123">
        <v>18656</v>
      </c>
      <c r="H123">
        <v>1377</v>
      </c>
    </row>
    <row r="124" spans="1:8" x14ac:dyDescent="0.3">
      <c r="A124" t="s">
        <v>281</v>
      </c>
      <c r="B124" t="s">
        <v>18</v>
      </c>
      <c r="C124">
        <v>1514</v>
      </c>
      <c r="D124">
        <v>141</v>
      </c>
      <c r="E124">
        <v>35842</v>
      </c>
      <c r="F124">
        <v>7.47</v>
      </c>
      <c r="G124">
        <v>18601</v>
      </c>
      <c r="H124">
        <v>1373</v>
      </c>
    </row>
    <row r="125" spans="1:8" x14ac:dyDescent="0.3">
      <c r="A125" t="s">
        <v>122</v>
      </c>
      <c r="B125" t="s">
        <v>38</v>
      </c>
      <c r="C125">
        <v>911</v>
      </c>
      <c r="D125">
        <v>282</v>
      </c>
      <c r="E125">
        <v>35664</v>
      </c>
      <c r="F125">
        <v>6.92</v>
      </c>
      <c r="G125">
        <v>18050</v>
      </c>
      <c r="H125">
        <v>629</v>
      </c>
    </row>
    <row r="126" spans="1:8" x14ac:dyDescent="0.3">
      <c r="A126" t="s">
        <v>402</v>
      </c>
      <c r="B126" t="s">
        <v>13</v>
      </c>
      <c r="C126">
        <v>152</v>
      </c>
      <c r="D126">
        <v>355</v>
      </c>
      <c r="E126">
        <v>270766</v>
      </c>
      <c r="F126">
        <v>9.48</v>
      </c>
      <c r="G126">
        <v>18001</v>
      </c>
      <c r="H126">
        <v>-203</v>
      </c>
    </row>
    <row r="127" spans="1:8" x14ac:dyDescent="0.3">
      <c r="A127" t="s">
        <v>319</v>
      </c>
      <c r="B127" t="s">
        <v>18</v>
      </c>
      <c r="C127">
        <v>816</v>
      </c>
      <c r="D127">
        <v>196</v>
      </c>
      <c r="E127">
        <v>95728</v>
      </c>
      <c r="F127">
        <v>8.1999999999999993</v>
      </c>
      <c r="G127">
        <v>17951</v>
      </c>
      <c r="H127">
        <v>620</v>
      </c>
    </row>
    <row r="128" spans="1:8" x14ac:dyDescent="0.3">
      <c r="A128" t="s">
        <v>391</v>
      </c>
      <c r="B128" t="s">
        <v>38</v>
      </c>
      <c r="C128">
        <v>508</v>
      </c>
      <c r="D128">
        <v>349</v>
      </c>
      <c r="E128">
        <v>473812</v>
      </c>
      <c r="F128">
        <v>7.88</v>
      </c>
      <c r="G128">
        <v>17328</v>
      </c>
      <c r="H128">
        <v>159</v>
      </c>
    </row>
    <row r="129" spans="1:8" x14ac:dyDescent="0.3">
      <c r="A129" t="s">
        <v>56</v>
      </c>
      <c r="B129" t="s">
        <v>13</v>
      </c>
      <c r="C129">
        <v>576</v>
      </c>
      <c r="D129">
        <v>101</v>
      </c>
      <c r="E129">
        <v>62499</v>
      </c>
      <c r="F129">
        <v>3.48</v>
      </c>
      <c r="G129">
        <v>16804</v>
      </c>
      <c r="H129">
        <v>475</v>
      </c>
    </row>
    <row r="130" spans="1:8" x14ac:dyDescent="0.3">
      <c r="A130" t="s">
        <v>333</v>
      </c>
      <c r="B130" t="s">
        <v>13</v>
      </c>
      <c r="C130">
        <v>1507</v>
      </c>
      <c r="D130">
        <v>463</v>
      </c>
      <c r="E130">
        <v>258944</v>
      </c>
      <c r="F130">
        <v>6.08</v>
      </c>
      <c r="G130">
        <v>16443</v>
      </c>
      <c r="H130">
        <v>1044</v>
      </c>
    </row>
    <row r="131" spans="1:8" x14ac:dyDescent="0.3">
      <c r="A131" t="s">
        <v>329</v>
      </c>
      <c r="B131" t="s">
        <v>23</v>
      </c>
      <c r="C131">
        <v>1581</v>
      </c>
      <c r="D131">
        <v>71</v>
      </c>
      <c r="E131">
        <v>484364</v>
      </c>
      <c r="F131">
        <v>3.55</v>
      </c>
      <c r="G131">
        <v>16149</v>
      </c>
      <c r="H131">
        <v>1510</v>
      </c>
    </row>
    <row r="132" spans="1:8" x14ac:dyDescent="0.3">
      <c r="A132" t="s">
        <v>405</v>
      </c>
      <c r="B132" t="s">
        <v>13</v>
      </c>
      <c r="C132">
        <v>1957</v>
      </c>
      <c r="D132">
        <v>490</v>
      </c>
      <c r="E132">
        <v>435726</v>
      </c>
      <c r="F132">
        <v>4.7300000000000004</v>
      </c>
      <c r="G132">
        <v>15969</v>
      </c>
      <c r="H132">
        <v>1467</v>
      </c>
    </row>
    <row r="133" spans="1:8" x14ac:dyDescent="0.3">
      <c r="A133" t="s">
        <v>72</v>
      </c>
      <c r="B133" t="s">
        <v>23</v>
      </c>
      <c r="C133">
        <v>191</v>
      </c>
      <c r="D133">
        <v>154</v>
      </c>
      <c r="E133">
        <v>240550</v>
      </c>
      <c r="F133">
        <v>5.22</v>
      </c>
      <c r="G133">
        <v>15827</v>
      </c>
      <c r="H133">
        <v>37</v>
      </c>
    </row>
    <row r="134" spans="1:8" x14ac:dyDescent="0.3">
      <c r="A134" t="s">
        <v>285</v>
      </c>
      <c r="B134" t="s">
        <v>23</v>
      </c>
      <c r="C134">
        <v>751</v>
      </c>
      <c r="D134">
        <v>491</v>
      </c>
      <c r="E134">
        <v>434047</v>
      </c>
      <c r="F134">
        <v>9.24</v>
      </c>
      <c r="G134">
        <v>15476</v>
      </c>
      <c r="H134">
        <v>260</v>
      </c>
    </row>
    <row r="135" spans="1:8" x14ac:dyDescent="0.3">
      <c r="A135" t="s">
        <v>56</v>
      </c>
      <c r="B135" t="s">
        <v>38</v>
      </c>
      <c r="C135">
        <v>653</v>
      </c>
      <c r="D135">
        <v>112</v>
      </c>
      <c r="E135">
        <v>23664</v>
      </c>
      <c r="F135">
        <v>4.05</v>
      </c>
      <c r="G135">
        <v>15353</v>
      </c>
      <c r="H135">
        <v>541</v>
      </c>
    </row>
    <row r="136" spans="1:8" x14ac:dyDescent="0.3">
      <c r="A136" t="s">
        <v>390</v>
      </c>
      <c r="B136" t="s">
        <v>13</v>
      </c>
      <c r="C136">
        <v>883</v>
      </c>
      <c r="D136">
        <v>369</v>
      </c>
      <c r="E136">
        <v>233694</v>
      </c>
      <c r="F136">
        <v>2.88</v>
      </c>
      <c r="G136">
        <v>15071</v>
      </c>
      <c r="H136">
        <v>514</v>
      </c>
    </row>
    <row r="137" spans="1:8" x14ac:dyDescent="0.3">
      <c r="A137" t="s">
        <v>319</v>
      </c>
      <c r="B137" t="s">
        <v>13</v>
      </c>
      <c r="C137">
        <v>891</v>
      </c>
      <c r="D137">
        <v>45</v>
      </c>
      <c r="E137">
        <v>95410</v>
      </c>
      <c r="F137">
        <v>8.33</v>
      </c>
      <c r="G137">
        <v>15045</v>
      </c>
      <c r="H137">
        <v>846</v>
      </c>
    </row>
    <row r="138" spans="1:8" x14ac:dyDescent="0.3">
      <c r="A138" t="s">
        <v>403</v>
      </c>
      <c r="B138" t="s">
        <v>23</v>
      </c>
      <c r="C138">
        <v>1399</v>
      </c>
      <c r="D138">
        <v>49</v>
      </c>
      <c r="E138">
        <v>12471</v>
      </c>
      <c r="F138">
        <v>5.12</v>
      </c>
      <c r="G138">
        <v>14722</v>
      </c>
      <c r="H138">
        <v>1350</v>
      </c>
    </row>
    <row r="139" spans="1:8" x14ac:dyDescent="0.3">
      <c r="A139" t="s">
        <v>400</v>
      </c>
      <c r="B139" t="s">
        <v>38</v>
      </c>
      <c r="C139">
        <v>1855</v>
      </c>
      <c r="D139">
        <v>133</v>
      </c>
      <c r="E139">
        <v>349413</v>
      </c>
      <c r="F139">
        <v>3.3</v>
      </c>
      <c r="G139">
        <v>14548</v>
      </c>
      <c r="H139">
        <v>1722</v>
      </c>
    </row>
    <row r="140" spans="1:8" x14ac:dyDescent="0.3">
      <c r="A140" t="s">
        <v>76</v>
      </c>
      <c r="B140" t="s">
        <v>38</v>
      </c>
      <c r="C140">
        <v>1693</v>
      </c>
      <c r="D140">
        <v>154</v>
      </c>
      <c r="E140">
        <v>445944</v>
      </c>
      <c r="F140">
        <v>5.69</v>
      </c>
      <c r="G140">
        <v>14216</v>
      </c>
      <c r="H140">
        <v>1539</v>
      </c>
    </row>
    <row r="141" spans="1:8" x14ac:dyDescent="0.3">
      <c r="A141" t="s">
        <v>178</v>
      </c>
      <c r="B141" t="s">
        <v>18</v>
      </c>
      <c r="C141">
        <v>1078</v>
      </c>
      <c r="D141">
        <v>20</v>
      </c>
      <c r="E141">
        <v>183924</v>
      </c>
      <c r="F141">
        <v>8.84</v>
      </c>
      <c r="G141">
        <v>14203</v>
      </c>
      <c r="H141">
        <v>1058</v>
      </c>
    </row>
    <row r="142" spans="1:8" x14ac:dyDescent="0.3">
      <c r="A142" t="s">
        <v>135</v>
      </c>
      <c r="B142" t="s">
        <v>13</v>
      </c>
      <c r="C142">
        <v>1900</v>
      </c>
      <c r="D142">
        <v>311</v>
      </c>
      <c r="E142">
        <v>25177</v>
      </c>
      <c r="F142">
        <v>2.89</v>
      </c>
      <c r="G142">
        <v>14154</v>
      </c>
      <c r="H142">
        <v>1589</v>
      </c>
    </row>
    <row r="143" spans="1:8" x14ac:dyDescent="0.3">
      <c r="A143" t="s">
        <v>407</v>
      </c>
      <c r="B143" t="s">
        <v>13</v>
      </c>
      <c r="C143">
        <v>1707</v>
      </c>
      <c r="D143">
        <v>74</v>
      </c>
      <c r="E143">
        <v>270958</v>
      </c>
      <c r="F143">
        <v>3.09</v>
      </c>
      <c r="G143">
        <v>14090</v>
      </c>
      <c r="H143">
        <v>1633</v>
      </c>
    </row>
    <row r="144" spans="1:8" x14ac:dyDescent="0.3">
      <c r="A144" t="s">
        <v>404</v>
      </c>
      <c r="B144" t="s">
        <v>23</v>
      </c>
      <c r="C144">
        <v>1077</v>
      </c>
      <c r="D144">
        <v>216</v>
      </c>
      <c r="E144">
        <v>12447</v>
      </c>
      <c r="F144">
        <v>1.8</v>
      </c>
      <c r="G144">
        <v>14068</v>
      </c>
      <c r="H144">
        <v>861</v>
      </c>
    </row>
    <row r="145" spans="1:8" x14ac:dyDescent="0.3">
      <c r="A145" t="s">
        <v>213</v>
      </c>
      <c r="B145" t="s">
        <v>23</v>
      </c>
      <c r="C145">
        <v>1592</v>
      </c>
      <c r="D145">
        <v>233</v>
      </c>
      <c r="E145">
        <v>327183</v>
      </c>
      <c r="F145">
        <v>6.66</v>
      </c>
      <c r="G145">
        <v>13316</v>
      </c>
      <c r="H145">
        <v>1359</v>
      </c>
    </row>
    <row r="146" spans="1:8" x14ac:dyDescent="0.3">
      <c r="A146" t="s">
        <v>72</v>
      </c>
      <c r="B146" t="s">
        <v>38</v>
      </c>
      <c r="C146">
        <v>642</v>
      </c>
      <c r="D146">
        <v>66</v>
      </c>
      <c r="E146">
        <v>346522</v>
      </c>
      <c r="F146">
        <v>5.85</v>
      </c>
      <c r="G146">
        <v>13116</v>
      </c>
      <c r="H146">
        <v>576</v>
      </c>
    </row>
    <row r="147" spans="1:8" x14ac:dyDescent="0.3">
      <c r="A147" t="s">
        <v>363</v>
      </c>
      <c r="B147" t="s">
        <v>13</v>
      </c>
      <c r="C147">
        <v>728</v>
      </c>
      <c r="D147">
        <v>395</v>
      </c>
      <c r="E147">
        <v>370971</v>
      </c>
      <c r="F147">
        <v>3.86</v>
      </c>
      <c r="G147">
        <v>12646</v>
      </c>
      <c r="H147">
        <v>333</v>
      </c>
    </row>
    <row r="148" spans="1:8" x14ac:dyDescent="0.3">
      <c r="A148" t="s">
        <v>325</v>
      </c>
      <c r="B148" t="s">
        <v>23</v>
      </c>
      <c r="C148">
        <v>826</v>
      </c>
      <c r="D148">
        <v>498</v>
      </c>
      <c r="E148">
        <v>449994</v>
      </c>
      <c r="F148">
        <v>9.43</v>
      </c>
      <c r="G148">
        <v>12384</v>
      </c>
      <c r="H148">
        <v>328</v>
      </c>
    </row>
    <row r="149" spans="1:8" x14ac:dyDescent="0.3">
      <c r="A149" t="s">
        <v>400</v>
      </c>
      <c r="B149" t="s">
        <v>23</v>
      </c>
      <c r="C149">
        <v>118</v>
      </c>
      <c r="D149">
        <v>262</v>
      </c>
      <c r="E149">
        <v>487896</v>
      </c>
      <c r="F149">
        <v>2.56</v>
      </c>
      <c r="G149">
        <v>12350</v>
      </c>
      <c r="H149">
        <v>-144</v>
      </c>
    </row>
    <row r="150" spans="1:8" x14ac:dyDescent="0.3">
      <c r="A150" t="s">
        <v>252</v>
      </c>
      <c r="B150" t="s">
        <v>13</v>
      </c>
      <c r="C150">
        <v>119</v>
      </c>
      <c r="D150">
        <v>456</v>
      </c>
      <c r="E150">
        <v>82558</v>
      </c>
      <c r="F150">
        <v>6.81</v>
      </c>
      <c r="G150">
        <v>12174</v>
      </c>
      <c r="H150">
        <v>-337</v>
      </c>
    </row>
    <row r="151" spans="1:8" x14ac:dyDescent="0.3">
      <c r="A151" t="s">
        <v>394</v>
      </c>
      <c r="B151" t="s">
        <v>23</v>
      </c>
      <c r="C151">
        <v>752</v>
      </c>
      <c r="D151">
        <v>153</v>
      </c>
      <c r="E151">
        <v>64906</v>
      </c>
      <c r="F151">
        <v>2.09</v>
      </c>
      <c r="G151">
        <v>12148</v>
      </c>
      <c r="H151">
        <v>599</v>
      </c>
    </row>
    <row r="152" spans="1:8" x14ac:dyDescent="0.3">
      <c r="A152" t="s">
        <v>393</v>
      </c>
      <c r="B152" t="s">
        <v>18</v>
      </c>
      <c r="C152">
        <v>198</v>
      </c>
      <c r="D152">
        <v>217</v>
      </c>
      <c r="E152">
        <v>239753</v>
      </c>
      <c r="F152">
        <v>7.36</v>
      </c>
      <c r="G152">
        <v>11901</v>
      </c>
      <c r="H152">
        <v>-19</v>
      </c>
    </row>
    <row r="153" spans="1:8" x14ac:dyDescent="0.3">
      <c r="A153" t="s">
        <v>405</v>
      </c>
      <c r="B153" t="s">
        <v>23</v>
      </c>
      <c r="C153">
        <v>1946</v>
      </c>
      <c r="D153">
        <v>270</v>
      </c>
      <c r="E153">
        <v>198350</v>
      </c>
      <c r="F153">
        <v>7.5</v>
      </c>
      <c r="G153">
        <v>11805</v>
      </c>
      <c r="H153">
        <v>1676</v>
      </c>
    </row>
    <row r="154" spans="1:8" x14ac:dyDescent="0.3">
      <c r="A154" t="s">
        <v>403</v>
      </c>
      <c r="B154" t="s">
        <v>13</v>
      </c>
      <c r="C154">
        <v>1658</v>
      </c>
      <c r="D154">
        <v>416</v>
      </c>
      <c r="E154">
        <v>98397</v>
      </c>
      <c r="F154">
        <v>6.11</v>
      </c>
      <c r="G154">
        <v>11383</v>
      </c>
      <c r="H154">
        <v>1242</v>
      </c>
    </row>
    <row r="155" spans="1:8" x14ac:dyDescent="0.3">
      <c r="A155" t="s">
        <v>206</v>
      </c>
      <c r="B155" t="s">
        <v>38</v>
      </c>
      <c r="C155">
        <v>1048</v>
      </c>
      <c r="D155">
        <v>155</v>
      </c>
      <c r="E155">
        <v>456946</v>
      </c>
      <c r="F155">
        <v>2.46</v>
      </c>
      <c r="G155">
        <v>11329</v>
      </c>
      <c r="H155">
        <v>893</v>
      </c>
    </row>
    <row r="156" spans="1:8" x14ac:dyDescent="0.3">
      <c r="A156" t="s">
        <v>406</v>
      </c>
      <c r="B156" t="s">
        <v>23</v>
      </c>
      <c r="C156">
        <v>353</v>
      </c>
      <c r="D156">
        <v>300</v>
      </c>
      <c r="E156">
        <v>142507</v>
      </c>
      <c r="F156">
        <v>5.3</v>
      </c>
      <c r="G156">
        <v>11035</v>
      </c>
      <c r="H156">
        <v>53</v>
      </c>
    </row>
    <row r="157" spans="1:8" x14ac:dyDescent="0.3">
      <c r="A157" t="s">
        <v>402</v>
      </c>
      <c r="B157" t="s">
        <v>38</v>
      </c>
      <c r="C157">
        <v>1556</v>
      </c>
      <c r="D157">
        <v>476</v>
      </c>
      <c r="E157">
        <v>351556</v>
      </c>
      <c r="F157">
        <v>3.89</v>
      </c>
      <c r="G157">
        <v>10825</v>
      </c>
      <c r="H157">
        <v>1080</v>
      </c>
    </row>
    <row r="158" spans="1:8" x14ac:dyDescent="0.3">
      <c r="A158" t="s">
        <v>222</v>
      </c>
      <c r="B158" t="s">
        <v>38</v>
      </c>
      <c r="C158">
        <v>1960</v>
      </c>
      <c r="D158">
        <v>115</v>
      </c>
      <c r="E158">
        <v>154169</v>
      </c>
      <c r="F158">
        <v>3.74</v>
      </c>
      <c r="G158">
        <v>10740</v>
      </c>
      <c r="H158">
        <v>1845</v>
      </c>
    </row>
    <row r="159" spans="1:8" x14ac:dyDescent="0.3">
      <c r="A159" t="s">
        <v>178</v>
      </c>
      <c r="B159" t="s">
        <v>13</v>
      </c>
      <c r="C159">
        <v>221</v>
      </c>
      <c r="D159">
        <v>31</v>
      </c>
      <c r="E159">
        <v>87443</v>
      </c>
      <c r="F159">
        <v>6.19</v>
      </c>
      <c r="G159">
        <v>10283</v>
      </c>
      <c r="H159">
        <v>190</v>
      </c>
    </row>
    <row r="160" spans="1:8" x14ac:dyDescent="0.3">
      <c r="A160" t="s">
        <v>285</v>
      </c>
      <c r="B160" t="s">
        <v>13</v>
      </c>
      <c r="C160">
        <v>1409</v>
      </c>
      <c r="D160">
        <v>309</v>
      </c>
      <c r="E160">
        <v>64583</v>
      </c>
      <c r="F160">
        <v>8.99</v>
      </c>
      <c r="G160">
        <v>10217</v>
      </c>
      <c r="H160">
        <v>1100</v>
      </c>
    </row>
    <row r="161" spans="1:12" x14ac:dyDescent="0.3">
      <c r="A161" t="s">
        <v>355</v>
      </c>
      <c r="B161" t="s">
        <v>23</v>
      </c>
      <c r="C161">
        <v>946</v>
      </c>
      <c r="D161">
        <v>47</v>
      </c>
      <c r="E161">
        <v>466575</v>
      </c>
      <c r="F161">
        <v>8.33</v>
      </c>
      <c r="G161">
        <v>10002</v>
      </c>
      <c r="H161">
        <v>899</v>
      </c>
    </row>
    <row r="162" spans="1:12" x14ac:dyDescent="0.3">
      <c r="A162" t="s">
        <v>97</v>
      </c>
      <c r="B162" t="s">
        <v>23</v>
      </c>
      <c r="C162">
        <v>1300</v>
      </c>
      <c r="D162">
        <v>71</v>
      </c>
      <c r="E162">
        <v>186454</v>
      </c>
      <c r="F162">
        <v>3.91</v>
      </c>
      <c r="G162">
        <v>9942</v>
      </c>
      <c r="H162">
        <v>1229</v>
      </c>
    </row>
    <row r="163" spans="1:12" x14ac:dyDescent="0.3">
      <c r="A163" t="s">
        <v>271</v>
      </c>
      <c r="B163" t="s">
        <v>38</v>
      </c>
      <c r="C163">
        <v>656</v>
      </c>
      <c r="D163">
        <v>139</v>
      </c>
      <c r="E163">
        <v>49157</v>
      </c>
      <c r="F163">
        <v>9.0500000000000007</v>
      </c>
      <c r="G163">
        <v>9920</v>
      </c>
      <c r="H163">
        <v>517</v>
      </c>
    </row>
    <row r="164" spans="1:12" x14ac:dyDescent="0.3">
      <c r="A164" t="s">
        <v>351</v>
      </c>
      <c r="B164" t="s">
        <v>18</v>
      </c>
      <c r="C164">
        <v>1312</v>
      </c>
      <c r="D164">
        <v>310</v>
      </c>
      <c r="E164">
        <v>42654</v>
      </c>
      <c r="F164">
        <v>4.9800000000000004</v>
      </c>
      <c r="G164">
        <v>9566</v>
      </c>
      <c r="H164">
        <v>1002</v>
      </c>
    </row>
    <row r="165" spans="1:12" x14ac:dyDescent="0.3">
      <c r="A165" t="s">
        <v>376</v>
      </c>
      <c r="B165" t="s">
        <v>38</v>
      </c>
      <c r="C165">
        <v>226</v>
      </c>
      <c r="D165">
        <v>445</v>
      </c>
      <c r="E165">
        <v>419447</v>
      </c>
      <c r="F165">
        <v>9.36</v>
      </c>
      <c r="G165">
        <v>9566</v>
      </c>
      <c r="H165">
        <v>-219</v>
      </c>
    </row>
    <row r="166" spans="1:12" x14ac:dyDescent="0.3">
      <c r="A166" t="s">
        <v>404</v>
      </c>
      <c r="B166" t="s">
        <v>38</v>
      </c>
      <c r="C166">
        <v>1102</v>
      </c>
      <c r="D166">
        <v>422</v>
      </c>
      <c r="E166">
        <v>410330</v>
      </c>
      <c r="F166">
        <v>7.74</v>
      </c>
      <c r="G166">
        <v>9480</v>
      </c>
      <c r="H166">
        <v>680</v>
      </c>
    </row>
    <row r="167" spans="1:12" x14ac:dyDescent="0.3">
      <c r="A167" t="s">
        <v>397</v>
      </c>
      <c r="B167" t="s">
        <v>13</v>
      </c>
      <c r="C167">
        <v>454</v>
      </c>
      <c r="D167">
        <v>105</v>
      </c>
      <c r="E167">
        <v>121091</v>
      </c>
      <c r="F167">
        <v>7.97</v>
      </c>
      <c r="G167">
        <v>9269</v>
      </c>
      <c r="H167">
        <v>349</v>
      </c>
    </row>
    <row r="168" spans="1:12" x14ac:dyDescent="0.3">
      <c r="A168" t="s">
        <v>399</v>
      </c>
      <c r="B168" t="s">
        <v>23</v>
      </c>
      <c r="C168">
        <v>1786</v>
      </c>
      <c r="D168">
        <v>257</v>
      </c>
      <c r="E168">
        <v>274831</v>
      </c>
      <c r="F168">
        <v>4.68</v>
      </c>
      <c r="G168">
        <v>9118</v>
      </c>
      <c r="H168">
        <v>1529</v>
      </c>
    </row>
    <row r="169" spans="1:12" x14ac:dyDescent="0.3">
      <c r="A169" t="s">
        <v>271</v>
      </c>
      <c r="B169" t="s">
        <v>23</v>
      </c>
      <c r="C169">
        <v>436</v>
      </c>
      <c r="D169">
        <v>250</v>
      </c>
      <c r="E169">
        <v>254347</v>
      </c>
      <c r="F169">
        <v>4.01</v>
      </c>
      <c r="G169">
        <v>8912</v>
      </c>
      <c r="H169">
        <v>186</v>
      </c>
    </row>
    <row r="170" spans="1:12" x14ac:dyDescent="0.3">
      <c r="A170" t="s">
        <v>131</v>
      </c>
      <c r="B170" t="s">
        <v>23</v>
      </c>
      <c r="C170">
        <v>861</v>
      </c>
      <c r="D170">
        <v>153</v>
      </c>
      <c r="E170">
        <v>317007</v>
      </c>
      <c r="F170">
        <v>3.85</v>
      </c>
      <c r="G170">
        <v>8718</v>
      </c>
      <c r="H170">
        <v>708</v>
      </c>
    </row>
    <row r="171" spans="1:12" x14ac:dyDescent="0.3">
      <c r="A171" t="s">
        <v>407</v>
      </c>
      <c r="B171" t="s">
        <v>23</v>
      </c>
      <c r="C171">
        <v>1147</v>
      </c>
      <c r="D171">
        <v>388</v>
      </c>
      <c r="E171">
        <v>333851</v>
      </c>
      <c r="F171">
        <v>2.44</v>
      </c>
      <c r="G171">
        <v>8471</v>
      </c>
      <c r="H171">
        <v>759</v>
      </c>
    </row>
    <row r="172" spans="1:12" x14ac:dyDescent="0.3">
      <c r="A172" t="s">
        <v>271</v>
      </c>
      <c r="B172" t="s">
        <v>18</v>
      </c>
      <c r="C172">
        <v>1697</v>
      </c>
      <c r="D172">
        <v>414</v>
      </c>
      <c r="E172">
        <v>316555</v>
      </c>
      <c r="F172">
        <v>2.37</v>
      </c>
      <c r="G172">
        <v>7924</v>
      </c>
      <c r="H172">
        <v>1283</v>
      </c>
    </row>
    <row r="173" spans="1:12" x14ac:dyDescent="0.3">
      <c r="A173" t="s">
        <v>407</v>
      </c>
      <c r="B173" t="s">
        <v>18</v>
      </c>
      <c r="C173">
        <v>1375</v>
      </c>
      <c r="D173">
        <v>330</v>
      </c>
      <c r="E173">
        <v>377382</v>
      </c>
      <c r="F173">
        <v>2.6</v>
      </c>
      <c r="G173">
        <v>7875</v>
      </c>
      <c r="H173">
        <v>1045</v>
      </c>
    </row>
    <row r="174" spans="1:12" x14ac:dyDescent="0.3">
      <c r="A174" t="s">
        <v>401</v>
      </c>
      <c r="B174" t="s">
        <v>13</v>
      </c>
      <c r="C174">
        <v>1166</v>
      </c>
      <c r="D174">
        <v>442</v>
      </c>
      <c r="E174">
        <v>336949</v>
      </c>
      <c r="F174">
        <v>4.68</v>
      </c>
      <c r="G174">
        <v>7705</v>
      </c>
      <c r="H174">
        <v>724</v>
      </c>
    </row>
    <row r="175" spans="1:12" x14ac:dyDescent="0.3">
      <c r="A175" t="s">
        <v>329</v>
      </c>
      <c r="B175" t="s">
        <v>13</v>
      </c>
      <c r="C175">
        <v>1035</v>
      </c>
      <c r="D175">
        <v>171</v>
      </c>
      <c r="E175">
        <v>148477</v>
      </c>
      <c r="F175">
        <v>5.21</v>
      </c>
      <c r="G175">
        <v>7541</v>
      </c>
      <c r="H175">
        <v>864</v>
      </c>
    </row>
    <row r="176" spans="1:12" x14ac:dyDescent="0.3">
      <c r="A176" t="s">
        <v>396</v>
      </c>
      <c r="B176" t="s">
        <v>18</v>
      </c>
      <c r="C176">
        <v>643</v>
      </c>
      <c r="D176">
        <v>358</v>
      </c>
      <c r="E176">
        <v>157599</v>
      </c>
      <c r="F176">
        <v>3.88</v>
      </c>
      <c r="G176">
        <v>7285</v>
      </c>
      <c r="H176">
        <v>285</v>
      </c>
      <c r="K176" s="32"/>
      <c r="L176" s="32"/>
    </row>
    <row r="177" spans="1:12" x14ac:dyDescent="0.3">
      <c r="A177" t="s">
        <v>248</v>
      </c>
      <c r="B177" t="s">
        <v>13</v>
      </c>
      <c r="C177">
        <v>1210</v>
      </c>
      <c r="D177">
        <v>178</v>
      </c>
      <c r="E177">
        <v>102042</v>
      </c>
      <c r="F177">
        <v>5.42</v>
      </c>
      <c r="G177">
        <v>6915</v>
      </c>
      <c r="H177">
        <v>1032</v>
      </c>
      <c r="K177" s="32"/>
      <c r="L177" s="32"/>
    </row>
    <row r="178" spans="1:12" x14ac:dyDescent="0.3">
      <c r="A178" t="s">
        <v>76</v>
      </c>
      <c r="B178" t="s">
        <v>13</v>
      </c>
      <c r="C178">
        <v>777</v>
      </c>
      <c r="D178">
        <v>140</v>
      </c>
      <c r="E178">
        <v>11435</v>
      </c>
      <c r="F178">
        <v>1.6</v>
      </c>
      <c r="G178">
        <v>6832</v>
      </c>
      <c r="H178">
        <v>637</v>
      </c>
    </row>
    <row r="179" spans="1:12" x14ac:dyDescent="0.3">
      <c r="A179" t="s">
        <v>396</v>
      </c>
      <c r="B179" t="s">
        <v>13</v>
      </c>
      <c r="C179">
        <v>414</v>
      </c>
      <c r="D179">
        <v>47</v>
      </c>
      <c r="E179">
        <v>199178</v>
      </c>
      <c r="F179">
        <v>1.53</v>
      </c>
      <c r="G179">
        <v>6742</v>
      </c>
      <c r="H179">
        <v>367</v>
      </c>
    </row>
    <row r="180" spans="1:12" x14ac:dyDescent="0.3">
      <c r="A180" t="s">
        <v>403</v>
      </c>
      <c r="B180" t="s">
        <v>38</v>
      </c>
      <c r="C180">
        <v>393</v>
      </c>
      <c r="D180">
        <v>181</v>
      </c>
      <c r="E180">
        <v>462142</v>
      </c>
      <c r="F180">
        <v>7.23</v>
      </c>
      <c r="G180">
        <v>6296</v>
      </c>
      <c r="H180">
        <v>212</v>
      </c>
    </row>
    <row r="181" spans="1:12" x14ac:dyDescent="0.3">
      <c r="A181" t="s">
        <v>376</v>
      </c>
      <c r="B181" t="s">
        <v>23</v>
      </c>
      <c r="C181">
        <v>1420</v>
      </c>
      <c r="D181">
        <v>63</v>
      </c>
      <c r="E181">
        <v>315305</v>
      </c>
      <c r="F181">
        <v>6.19</v>
      </c>
      <c r="G181">
        <v>5914</v>
      </c>
      <c r="H181">
        <v>1357</v>
      </c>
    </row>
    <row r="182" spans="1:12" x14ac:dyDescent="0.3">
      <c r="A182" t="s">
        <v>351</v>
      </c>
      <c r="B182" t="s">
        <v>38</v>
      </c>
      <c r="C182">
        <v>1135</v>
      </c>
      <c r="D182">
        <v>88</v>
      </c>
      <c r="E182">
        <v>344084</v>
      </c>
      <c r="F182">
        <v>8.06</v>
      </c>
      <c r="G182">
        <v>5904</v>
      </c>
      <c r="H182">
        <v>1047</v>
      </c>
    </row>
    <row r="183" spans="1:12" x14ac:dyDescent="0.3">
      <c r="A183" t="s">
        <v>392</v>
      </c>
      <c r="B183" t="s">
        <v>13</v>
      </c>
      <c r="C183">
        <v>123</v>
      </c>
      <c r="D183">
        <v>155</v>
      </c>
      <c r="E183">
        <v>119934</v>
      </c>
      <c r="F183">
        <v>3.5</v>
      </c>
      <c r="G183">
        <v>5442</v>
      </c>
      <c r="H183">
        <v>-32</v>
      </c>
    </row>
    <row r="184" spans="1:12" x14ac:dyDescent="0.3">
      <c r="A184" t="s">
        <v>188</v>
      </c>
      <c r="B184" t="s">
        <v>23</v>
      </c>
      <c r="C184">
        <v>628</v>
      </c>
      <c r="D184">
        <v>183</v>
      </c>
      <c r="E184">
        <v>487523</v>
      </c>
      <c r="F184">
        <v>7.32</v>
      </c>
      <c r="G184">
        <v>5391</v>
      </c>
      <c r="H184">
        <v>445</v>
      </c>
    </row>
    <row r="185" spans="1:12" x14ac:dyDescent="0.3">
      <c r="A185" t="s">
        <v>333</v>
      </c>
      <c r="B185" t="s">
        <v>18</v>
      </c>
      <c r="C185">
        <v>947</v>
      </c>
      <c r="D185">
        <v>407</v>
      </c>
      <c r="E185">
        <v>319186</v>
      </c>
      <c r="F185">
        <v>3.32</v>
      </c>
      <c r="G185">
        <v>4996</v>
      </c>
      <c r="H185">
        <v>540</v>
      </c>
    </row>
    <row r="186" spans="1:12" x14ac:dyDescent="0.3">
      <c r="A186" t="s">
        <v>56</v>
      </c>
      <c r="B186" t="s">
        <v>18</v>
      </c>
      <c r="C186">
        <v>160</v>
      </c>
      <c r="D186">
        <v>478</v>
      </c>
      <c r="E186">
        <v>435034</v>
      </c>
      <c r="F186">
        <v>7.73</v>
      </c>
      <c r="G186">
        <v>4839</v>
      </c>
      <c r="H186">
        <v>-318</v>
      </c>
    </row>
    <row r="187" spans="1:12" x14ac:dyDescent="0.3">
      <c r="A187" t="s">
        <v>135</v>
      </c>
      <c r="B187" t="s">
        <v>38</v>
      </c>
      <c r="C187">
        <v>1092</v>
      </c>
      <c r="D187">
        <v>408</v>
      </c>
      <c r="E187">
        <v>280795</v>
      </c>
      <c r="F187">
        <v>8.44</v>
      </c>
      <c r="G187">
        <v>4683</v>
      </c>
      <c r="H187">
        <v>684</v>
      </c>
    </row>
    <row r="188" spans="1:12" x14ac:dyDescent="0.3">
      <c r="A188" t="s">
        <v>395</v>
      </c>
      <c r="B188" t="s">
        <v>23</v>
      </c>
      <c r="C188">
        <v>437</v>
      </c>
      <c r="D188">
        <v>330</v>
      </c>
      <c r="E188">
        <v>476486</v>
      </c>
      <c r="F188">
        <v>4.97</v>
      </c>
      <c r="G188">
        <v>4509</v>
      </c>
      <c r="H188">
        <v>107</v>
      </c>
    </row>
    <row r="189" spans="1:12" x14ac:dyDescent="0.3">
      <c r="A189" t="s">
        <v>399</v>
      </c>
      <c r="B189" t="s">
        <v>38</v>
      </c>
      <c r="C189">
        <v>1814</v>
      </c>
      <c r="D189">
        <v>49</v>
      </c>
      <c r="E189">
        <v>140804</v>
      </c>
      <c r="F189">
        <v>1.76</v>
      </c>
      <c r="G189">
        <v>4313</v>
      </c>
      <c r="H189">
        <v>1765</v>
      </c>
    </row>
    <row r="190" spans="1:12" x14ac:dyDescent="0.3">
      <c r="A190" t="s">
        <v>252</v>
      </c>
      <c r="B190" t="s">
        <v>23</v>
      </c>
      <c r="C190">
        <v>337</v>
      </c>
      <c r="D190">
        <v>68</v>
      </c>
      <c r="E190">
        <v>456298</v>
      </c>
      <c r="F190">
        <v>7.57</v>
      </c>
      <c r="G190">
        <v>4007</v>
      </c>
      <c r="H190">
        <v>269</v>
      </c>
    </row>
    <row r="191" spans="1:12" x14ac:dyDescent="0.3">
      <c r="A191" t="s">
        <v>76</v>
      </c>
      <c r="B191" t="s">
        <v>18</v>
      </c>
      <c r="C191">
        <v>833</v>
      </c>
      <c r="D191">
        <v>380</v>
      </c>
      <c r="E191">
        <v>224830</v>
      </c>
      <c r="F191">
        <v>3.86</v>
      </c>
      <c r="G191">
        <v>3582</v>
      </c>
      <c r="H191">
        <v>453</v>
      </c>
    </row>
    <row r="192" spans="1:12" x14ac:dyDescent="0.3">
      <c r="A192" t="s">
        <v>398</v>
      </c>
      <c r="B192" t="s">
        <v>23</v>
      </c>
      <c r="C192">
        <v>1441</v>
      </c>
      <c r="D192">
        <v>268</v>
      </c>
      <c r="E192">
        <v>309904</v>
      </c>
      <c r="F192">
        <v>6.37</v>
      </c>
      <c r="G192">
        <v>3455</v>
      </c>
      <c r="H192">
        <v>1173</v>
      </c>
    </row>
    <row r="193" spans="1:8" x14ac:dyDescent="0.3">
      <c r="A193" t="s">
        <v>275</v>
      </c>
      <c r="B193" t="s">
        <v>38</v>
      </c>
      <c r="C193">
        <v>1957</v>
      </c>
      <c r="D193">
        <v>234</v>
      </c>
      <c r="E193">
        <v>222126</v>
      </c>
      <c r="F193">
        <v>4.6100000000000003</v>
      </c>
      <c r="G193">
        <v>3314</v>
      </c>
      <c r="H193">
        <v>1723</v>
      </c>
    </row>
    <row r="194" spans="1:8" x14ac:dyDescent="0.3">
      <c r="A194" t="s">
        <v>390</v>
      </c>
      <c r="B194" t="s">
        <v>23</v>
      </c>
      <c r="C194">
        <v>987</v>
      </c>
      <c r="D194">
        <v>440</v>
      </c>
      <c r="E194">
        <v>389810</v>
      </c>
      <c r="F194">
        <v>4.66</v>
      </c>
      <c r="G194">
        <v>2932</v>
      </c>
      <c r="H194">
        <v>547</v>
      </c>
    </row>
    <row r="195" spans="1:8" x14ac:dyDescent="0.3">
      <c r="A195" t="s">
        <v>319</v>
      </c>
      <c r="B195" t="s">
        <v>23</v>
      </c>
      <c r="C195">
        <v>1633</v>
      </c>
      <c r="D195">
        <v>445</v>
      </c>
      <c r="E195">
        <v>371156</v>
      </c>
      <c r="F195">
        <v>2.2200000000000002</v>
      </c>
      <c r="G195">
        <v>2798</v>
      </c>
      <c r="H195">
        <v>1188</v>
      </c>
    </row>
    <row r="196" spans="1:8" x14ac:dyDescent="0.3">
      <c r="A196" t="s">
        <v>304</v>
      </c>
      <c r="B196" t="s">
        <v>38</v>
      </c>
      <c r="C196">
        <v>559</v>
      </c>
      <c r="D196">
        <v>392</v>
      </c>
      <c r="E196">
        <v>78789</v>
      </c>
      <c r="F196">
        <v>3.19</v>
      </c>
      <c r="G196">
        <v>2436</v>
      </c>
      <c r="H196">
        <v>167</v>
      </c>
    </row>
    <row r="197" spans="1:8" x14ac:dyDescent="0.3">
      <c r="A197" t="s">
        <v>394</v>
      </c>
      <c r="B197" t="s">
        <v>18</v>
      </c>
      <c r="C197">
        <v>250</v>
      </c>
      <c r="D197">
        <v>429</v>
      </c>
      <c r="E197">
        <v>453423</v>
      </c>
      <c r="F197">
        <v>1.77</v>
      </c>
      <c r="G197">
        <v>2315</v>
      </c>
      <c r="H197">
        <v>-179</v>
      </c>
    </row>
    <row r="198" spans="1:8" x14ac:dyDescent="0.3">
      <c r="A198" t="s">
        <v>406</v>
      </c>
      <c r="B198" t="s">
        <v>38</v>
      </c>
      <c r="C198">
        <v>198</v>
      </c>
      <c r="D198">
        <v>358</v>
      </c>
      <c r="E198">
        <v>66682</v>
      </c>
      <c r="F198">
        <v>6.73</v>
      </c>
      <c r="G198">
        <v>2293</v>
      </c>
      <c r="H198">
        <v>-160</v>
      </c>
    </row>
    <row r="199" spans="1:8" x14ac:dyDescent="0.3">
      <c r="A199" t="s">
        <v>105</v>
      </c>
      <c r="B199" t="s">
        <v>38</v>
      </c>
      <c r="C199">
        <v>1854</v>
      </c>
      <c r="D199">
        <v>161</v>
      </c>
      <c r="E199">
        <v>282466</v>
      </c>
      <c r="F199">
        <v>5.17</v>
      </c>
      <c r="G199">
        <v>1810</v>
      </c>
      <c r="H199">
        <v>1693</v>
      </c>
    </row>
    <row r="200" spans="1:8" x14ac:dyDescent="0.3">
      <c r="A200" t="s">
        <v>122</v>
      </c>
      <c r="B200" t="s">
        <v>13</v>
      </c>
      <c r="C200">
        <v>308</v>
      </c>
      <c r="D200">
        <v>431</v>
      </c>
      <c r="E200">
        <v>426184</v>
      </c>
      <c r="F200">
        <v>2.62</v>
      </c>
      <c r="G200">
        <v>1783</v>
      </c>
      <c r="H200">
        <v>-123</v>
      </c>
    </row>
    <row r="201" spans="1:8" x14ac:dyDescent="0.3">
      <c r="A201" t="s">
        <v>393</v>
      </c>
      <c r="B201" t="s">
        <v>38</v>
      </c>
      <c r="C201">
        <v>817</v>
      </c>
      <c r="D201">
        <v>151</v>
      </c>
      <c r="E201">
        <v>422625</v>
      </c>
      <c r="F201">
        <v>2.36</v>
      </c>
      <c r="G201">
        <v>1083</v>
      </c>
      <c r="H201">
        <v>666</v>
      </c>
    </row>
  </sheetData>
  <autoFilter ref="A1:H201" xr:uid="{9E51989D-A150-46EA-A1D6-BAEDFA81EA72}">
    <sortState xmlns:xlrd2="http://schemas.microsoft.com/office/spreadsheetml/2017/richdata2" ref="A2:H201">
      <sortCondition descending="1" ref="G1:G201"/>
    </sortState>
  </autoFilter>
  <mergeCells count="1">
    <mergeCell ref="K176:L177"/>
  </mergeCells>
  <pageMargins left="0.7" right="0.7" top="0.75" bottom="0.75" header="0.3" footer="0.3"/>
  <pageSetup orientation="portrait" r:id="rId2"/>
  <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CCC1773B-6927-4116-9A44-7810CB1B6313}">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Posts_Task 1</vt:lpstr>
      <vt:lpstr>Engagement_Task 1</vt:lpstr>
      <vt:lpstr>Campaign metadata_Task 1</vt:lpstr>
      <vt:lpstr>Task 2</vt:lpstr>
      <vt:lpstr>Task 3</vt:lpstr>
      <vt:lpstr>Task 4</vt:lpstr>
      <vt:lpstr>Task 5</vt:lpstr>
      <vt:lpstr>Task 6</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Raghavendra kumar</cp:lastModifiedBy>
  <dcterms:created xsi:type="dcterms:W3CDTF">2025-10-22T06:16:36Z</dcterms:created>
  <dcterms:modified xsi:type="dcterms:W3CDTF">2025-11-01T13:19:19Z</dcterms:modified>
</cp:coreProperties>
</file>